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ul.vallace\Desktop\"/>
    </mc:Choice>
  </mc:AlternateContent>
  <xr:revisionPtr revIDLastSave="0" documentId="13_ncr:1_{1471234C-FCF4-40E8-8458-6306CCE6D8B1}" xr6:coauthVersionLast="47" xr6:coauthVersionMax="47" xr10:uidLastSave="{00000000-0000-0000-0000-000000000000}"/>
  <bookViews>
    <workbookView xWindow="-120" yWindow="-120" windowWidth="25440" windowHeight="15270" xr2:uid="{5983C3F5-B131-B14E-9081-F7B7E449CB3B}"/>
  </bookViews>
  <sheets>
    <sheet name="Import Games" sheetId="6" r:id="rId1"/>
    <sheet name="Today's Games" sheetId="3" r:id="rId2"/>
    <sheet name="2025-2026 Record" sheetId="4" r:id="rId3"/>
    <sheet name="Model Record" sheetId="2" r:id="rId4"/>
    <sheet name="Games" sheetId="1" r:id="rId5"/>
    <sheet name="rece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/>
  <c r="H10" i="4" a="1"/>
  <c r="H10" i="4"/>
  <c r="H11" i="4" a="1"/>
  <c r="H11" i="4"/>
  <c r="H12" i="4" a="1"/>
  <c r="H12" i="4" s="1"/>
  <c r="H13" i="4" a="1"/>
  <c r="H13" i="4"/>
  <c r="H14" i="4" a="1"/>
  <c r="H14" i="4" s="1"/>
  <c r="H15" i="4" a="1"/>
  <c r="H15" i="4" s="1"/>
  <c r="H16" i="4" a="1"/>
  <c r="H16" i="4" s="1"/>
  <c r="H17" i="4" a="1"/>
  <c r="H17" i="4"/>
  <c r="H18" i="4" a="1"/>
  <c r="H18" i="4" s="1"/>
  <c r="H19" i="4" a="1"/>
  <c r="H19" i="4" s="1"/>
  <c r="H20" i="4" a="1"/>
  <c r="H20" i="4"/>
  <c r="H21" i="4" a="1"/>
  <c r="H21" i="4"/>
  <c r="H22" i="4" a="1"/>
  <c r="H22" i="4"/>
  <c r="H23" i="4" a="1"/>
  <c r="H23" i="4" s="1"/>
  <c r="H24" i="4" a="1"/>
  <c r="H24" i="4"/>
  <c r="H25" i="4" a="1"/>
  <c r="H25" i="4" s="1"/>
  <c r="H26" i="4" a="1"/>
  <c r="H26" i="4" s="1"/>
  <c r="H27" i="4" a="1"/>
  <c r="H27" i="4" s="1"/>
  <c r="H28" i="4" a="1"/>
  <c r="H28" i="4"/>
  <c r="H29" i="4" a="1"/>
  <c r="H29" i="4" s="1"/>
  <c r="H30" i="4" a="1"/>
  <c r="H30" i="4" s="1"/>
  <c r="H31" i="4" a="1"/>
  <c r="H31" i="4"/>
  <c r="H32" i="4" a="1"/>
  <c r="H32" i="4"/>
  <c r="H33" i="4" a="1"/>
  <c r="H33" i="4"/>
  <c r="H34" i="4" a="1"/>
  <c r="H34" i="4" s="1"/>
  <c r="H35" i="4" a="1"/>
  <c r="H35" i="4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/>
  <c r="H44" i="4" a="1"/>
  <c r="H44" i="4"/>
  <c r="H45" i="4" a="1"/>
  <c r="H45" i="4" s="1"/>
  <c r="H46" i="4" a="1"/>
  <c r="H46" i="4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/>
  <c r="H55" i="4" a="1"/>
  <c r="H55" i="4"/>
  <c r="H56" i="4" a="1"/>
  <c r="H56" i="4" s="1"/>
  <c r="H57" i="4" a="1"/>
  <c r="H57" i="4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/>
  <c r="H66" i="4" a="1"/>
  <c r="H66" i="4"/>
  <c r="H67" i="4" a="1"/>
  <c r="H67" i="4" s="1"/>
  <c r="H68" i="4" a="1"/>
  <c r="H68" i="4"/>
  <c r="H69" i="4" a="1"/>
  <c r="H69" i="4" s="1"/>
  <c r="H70" i="4" a="1"/>
  <c r="H70" i="4" s="1"/>
  <c r="H71" i="4" a="1"/>
  <c r="H71" i="4" s="1"/>
  <c r="H72" i="4" a="1"/>
  <c r="H72" i="4" s="1"/>
  <c r="H73" i="4" a="1"/>
  <c r="H73" i="4" s="1"/>
  <c r="H74" i="4" a="1"/>
  <c r="H74" i="4" s="1"/>
  <c r="H75" i="4" a="1"/>
  <c r="H75" i="4" s="1"/>
  <c r="H76" i="4" a="1"/>
  <c r="H76" i="4"/>
  <c r="H77" i="4" a="1"/>
  <c r="H77" i="4"/>
  <c r="H78" i="4" a="1"/>
  <c r="H78" i="4" s="1"/>
  <c r="H79" i="4" a="1"/>
  <c r="H79" i="4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/>
  <c r="H88" i="4" a="1"/>
  <c r="H88" i="4"/>
  <c r="H89" i="4" a="1"/>
  <c r="H89" i="4" s="1"/>
  <c r="H90" i="4" a="1"/>
  <c r="H90" i="4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/>
  <c r="H99" i="4" a="1"/>
  <c r="H99" i="4"/>
  <c r="H100" i="4" a="1"/>
  <c r="H100" i="4" s="1"/>
  <c r="H101" i="4" a="1"/>
  <c r="H101" i="4"/>
  <c r="H102" i="4" a="1"/>
  <c r="H102" i="4" s="1"/>
  <c r="H103" i="4" a="1"/>
  <c r="H103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/>
  <c r="H110" i="4" a="1"/>
  <c r="H110" i="4"/>
  <c r="H111" i="4" a="1"/>
  <c r="H111" i="4" s="1"/>
  <c r="H112" i="4" a="1"/>
  <c r="H112" i="4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/>
  <c r="H121" i="4" a="1"/>
  <c r="H121" i="4"/>
  <c r="H122" i="4" a="1"/>
  <c r="H122" i="4" s="1"/>
  <c r="H123" i="4" a="1"/>
  <c r="H123" i="4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/>
  <c r="H132" i="4" a="1"/>
  <c r="H132" i="4"/>
  <c r="H133" i="4" a="1"/>
  <c r="H133" i="4" s="1"/>
  <c r="H134" i="4" a="1"/>
  <c r="H134" i="4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/>
  <c r="H143" i="4" a="1"/>
  <c r="H143" i="4"/>
  <c r="H144" i="4" a="1"/>
  <c r="H144" i="4" s="1"/>
  <c r="H145" i="4" a="1"/>
  <c r="H145" i="4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 s="1"/>
  <c r="H152" i="4" a="1"/>
  <c r="H152" i="4" s="1"/>
  <c r="H153" i="4" a="1"/>
  <c r="H153" i="4"/>
  <c r="H154" i="4" a="1"/>
  <c r="H154" i="4"/>
  <c r="H155" i="4" a="1"/>
  <c r="H155" i="4" s="1"/>
  <c r="H156" i="4" a="1"/>
  <c r="H156" i="4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/>
  <c r="H165" i="4" a="1"/>
  <c r="H165" i="4"/>
  <c r="H166" i="4" a="1"/>
  <c r="H166" i="4" s="1"/>
  <c r="H167" i="4" a="1"/>
  <c r="H167" i="4"/>
  <c r="H168" i="4" a="1"/>
  <c r="H168" i="4" s="1"/>
  <c r="H169" i="4" a="1"/>
  <c r="H169" i="4" s="1"/>
  <c r="H170" i="4" a="1"/>
  <c r="H170" i="4" s="1"/>
  <c r="H171" i="4" a="1"/>
  <c r="H171" i="4" s="1"/>
  <c r="H172" i="4" a="1"/>
  <c r="H172" i="4" s="1"/>
  <c r="H173" i="4" a="1"/>
  <c r="H173" i="4" s="1"/>
  <c r="H174" i="4" a="1"/>
  <c r="H174" i="4" s="1"/>
  <c r="H175" i="4" a="1"/>
  <c r="H175" i="4"/>
  <c r="H176" i="4" a="1"/>
  <c r="H176" i="4"/>
  <c r="H177" i="4" a="1"/>
  <c r="H177" i="4" s="1"/>
  <c r="H178" i="4" a="1"/>
  <c r="H178" i="4"/>
  <c r="H179" i="4" a="1"/>
  <c r="H179" i="4" s="1"/>
  <c r="H180" i="4" a="1"/>
  <c r="H180" i="4" s="1"/>
  <c r="H181" i="4" a="1"/>
  <c r="H181" i="4" s="1"/>
  <c r="H182" i="4" a="1"/>
  <c r="H182" i="4" s="1"/>
  <c r="H183" i="4" a="1"/>
  <c r="H183" i="4" s="1"/>
  <c r="H184" i="4" a="1"/>
  <c r="H184" i="4" s="1"/>
  <c r="H185" i="4" a="1"/>
  <c r="H185" i="4" s="1"/>
  <c r="H186" i="4" a="1"/>
  <c r="H186" i="4"/>
  <c r="H187" i="4" a="1"/>
  <c r="H187" i="4"/>
  <c r="H188" i="4" a="1"/>
  <c r="H188" i="4" s="1"/>
  <c r="H189" i="4" a="1"/>
  <c r="H189" i="4"/>
  <c r="H190" i="4" a="1"/>
  <c r="H190" i="4" s="1"/>
  <c r="H191" i="4" a="1"/>
  <c r="H191" i="4" s="1"/>
  <c r="H192" i="4" a="1"/>
  <c r="H192" i="4" s="1"/>
  <c r="H193" i="4" a="1"/>
  <c r="H193" i="4" s="1"/>
  <c r="H194" i="4" a="1"/>
  <c r="H194" i="4" s="1"/>
  <c r="H195" i="4" a="1"/>
  <c r="H195" i="4" s="1"/>
  <c r="H196" i="4" a="1"/>
  <c r="H196" i="4" s="1"/>
  <c r="H197" i="4" a="1"/>
  <c r="H197" i="4"/>
  <c r="H198" i="4" a="1"/>
  <c r="H198" i="4"/>
  <c r="H199" i="4" a="1"/>
  <c r="H199" i="4" s="1"/>
  <c r="H200" i="4" a="1"/>
  <c r="H200" i="4"/>
  <c r="H201" i="4" a="1"/>
  <c r="H201" i="4" s="1"/>
  <c r="H202" i="4" a="1"/>
  <c r="H202" i="4" s="1"/>
  <c r="H203" i="4" a="1"/>
  <c r="H203" i="4" s="1"/>
  <c r="H204" i="4" a="1"/>
  <c r="H204" i="4" s="1"/>
  <c r="H205" i="4" a="1"/>
  <c r="H205" i="4" s="1"/>
  <c r="H206" i="4" a="1"/>
  <c r="H206" i="4" s="1"/>
  <c r="H207" i="4" a="1"/>
  <c r="H207" i="4" s="1"/>
  <c r="H208" i="4" a="1"/>
  <c r="H208" i="4"/>
  <c r="H209" i="4" a="1"/>
  <c r="H209" i="4"/>
  <c r="H210" i="4" a="1"/>
  <c r="H210" i="4" s="1"/>
  <c r="H211" i="4" a="1"/>
  <c r="H211" i="4" s="1"/>
  <c r="H212" i="4" a="1"/>
  <c r="H212" i="4" s="1"/>
  <c r="H213" i="4" a="1"/>
  <c r="H213" i="4" s="1"/>
  <c r="H214" i="4" a="1"/>
  <c r="H214" i="4" s="1"/>
  <c r="H215" i="4" a="1"/>
  <c r="H215" i="4" s="1"/>
  <c r="H216" i="4" a="1"/>
  <c r="H216" i="4" s="1"/>
  <c r="H217" i="4" a="1"/>
  <c r="H217" i="4" s="1"/>
  <c r="H218" i="4" a="1"/>
  <c r="H218" i="4" s="1"/>
  <c r="H219" i="4" a="1"/>
  <c r="H219" i="4"/>
  <c r="H220" i="4" a="1"/>
  <c r="H220" i="4" s="1"/>
  <c r="H221" i="4" a="1"/>
  <c r="H221" i="4" s="1"/>
  <c r="H222" i="4" a="1"/>
  <c r="H222" i="4"/>
  <c r="H223" i="4" a="1"/>
  <c r="H223" i="4" s="1"/>
  <c r="H224" i="4" a="1"/>
  <c r="H224" i="4" s="1"/>
  <c r="H225" i="4" a="1"/>
  <c r="H225" i="4" s="1"/>
  <c r="H226" i="4" a="1"/>
  <c r="H226" i="4" s="1"/>
  <c r="H227" i="4" a="1"/>
  <c r="H227" i="4" s="1"/>
  <c r="H228" i="4" a="1"/>
  <c r="H228" i="4" s="1"/>
  <c r="H229" i="4" a="1"/>
  <c r="H229" i="4" s="1"/>
  <c r="H230" i="4" a="1"/>
  <c r="H230" i="4"/>
  <c r="H231" i="4" a="1"/>
  <c r="H231" i="4"/>
  <c r="H232" i="4" a="1"/>
  <c r="H232" i="4" s="1"/>
  <c r="H233" i="4" a="1"/>
  <c r="H233" i="4"/>
  <c r="H234" i="4" a="1"/>
  <c r="H234" i="4" s="1"/>
  <c r="H235" i="4" a="1"/>
  <c r="H235" i="4" s="1"/>
  <c r="H236" i="4" a="1"/>
  <c r="H236" i="4" s="1"/>
  <c r="H237" i="4" a="1"/>
  <c r="H237" i="4" s="1"/>
  <c r="H238" i="4" a="1"/>
  <c r="H238" i="4" s="1"/>
  <c r="H239" i="4" a="1"/>
  <c r="H239" i="4" s="1"/>
  <c r="H240" i="4" a="1"/>
  <c r="H240" i="4" s="1"/>
  <c r="H241" i="4" a="1"/>
  <c r="H241" i="4"/>
  <c r="H242" i="4" a="1"/>
  <c r="H242" i="4"/>
  <c r="H243" i="4" a="1"/>
  <c r="H243" i="4" s="1"/>
  <c r="H244" i="4" a="1"/>
  <c r="H244" i="4"/>
  <c r="H245" i="4" a="1"/>
  <c r="H245" i="4" s="1"/>
  <c r="H246" i="4" a="1"/>
  <c r="H246" i="4" s="1"/>
  <c r="H247" i="4" a="1"/>
  <c r="H247" i="4" s="1"/>
  <c r="H248" i="4" a="1"/>
  <c r="H248" i="4" s="1"/>
  <c r="H249" i="4" a="1"/>
  <c r="H249" i="4" s="1"/>
  <c r="H250" i="4" a="1"/>
  <c r="H250" i="4" s="1"/>
  <c r="H251" i="4" a="1"/>
  <c r="H251" i="4" s="1"/>
  <c r="H252" i="4" a="1"/>
  <c r="H252" i="4"/>
  <c r="H253" i="4" a="1"/>
  <c r="H253" i="4"/>
  <c r="H254" i="4" a="1"/>
  <c r="H254" i="4" s="1"/>
  <c r="H255" i="4" a="1"/>
  <c r="H255" i="4"/>
  <c r="H256" i="4" a="1"/>
  <c r="H256" i="4" s="1"/>
  <c r="H257" i="4" a="1"/>
  <c r="H257" i="4" s="1"/>
  <c r="H258" i="4" a="1"/>
  <c r="H258" i="4" s="1"/>
  <c r="H259" i="4" a="1"/>
  <c r="H259" i="4" s="1"/>
  <c r="H260" i="4" a="1"/>
  <c r="H260" i="4" s="1"/>
  <c r="H261" i="4" a="1"/>
  <c r="H261" i="4" s="1"/>
  <c r="H262" i="4" a="1"/>
  <c r="H262" i="4" s="1"/>
  <c r="H263" i="4" a="1"/>
  <c r="H263" i="4"/>
  <c r="H264" i="4" a="1"/>
  <c r="H264" i="4"/>
  <c r="H265" i="4" a="1"/>
  <c r="H265" i="4" s="1"/>
  <c r="H2" i="4" a="1"/>
  <c r="H2" i="4" s="1"/>
  <c r="M3" i="4"/>
  <c r="K4" i="4" l="1"/>
  <c r="K5" i="4"/>
  <c r="O5" i="4" s="1"/>
  <c r="K6" i="4"/>
  <c r="K7" i="4"/>
  <c r="K8" i="4"/>
  <c r="L8" i="4" s="1"/>
  <c r="K9" i="4"/>
  <c r="K10" i="4"/>
  <c r="O10" i="4" s="1"/>
  <c r="K11" i="4"/>
  <c r="K12" i="4"/>
  <c r="O12" i="4" s="1"/>
  <c r="K13" i="4"/>
  <c r="K14" i="4"/>
  <c r="K15" i="4"/>
  <c r="L15" i="4" s="1"/>
  <c r="K3" i="4"/>
  <c r="O9" i="4" l="1"/>
  <c r="L9" i="4"/>
  <c r="L11" i="4"/>
  <c r="O11" i="4"/>
  <c r="L3" i="4"/>
  <c r="O3" i="4"/>
  <c r="O6" i="4"/>
  <c r="L6" i="4"/>
  <c r="L12" i="4"/>
  <c r="L13" i="4"/>
  <c r="O13" i="4"/>
  <c r="L7" i="4"/>
  <c r="O7" i="4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2" i="3" l="1" a="1"/>
  <c r="H2" i="3" s="1"/>
  <c r="K17" i="4"/>
  <c r="K18" i="4" s="1"/>
  <c r="M4" i="4"/>
  <c r="M5" i="4"/>
  <c r="M6" i="4"/>
  <c r="M7" i="4"/>
  <c r="M8" i="4"/>
  <c r="M9" i="4"/>
  <c r="M10" i="4"/>
  <c r="M11" i="4"/>
  <c r="M12" i="4"/>
  <c r="M13" i="4"/>
  <c r="M14" i="4"/>
  <c r="M15" i="4"/>
  <c r="H8" i="3" l="1" a="1"/>
  <c r="H8" i="3" s="1"/>
  <c r="H11" i="3" a="1"/>
  <c r="H11" i="3" s="1"/>
  <c r="H13" i="3" a="1"/>
  <c r="H13" i="3" s="1"/>
  <c r="H10" i="3" a="1"/>
  <c r="H10" i="3" s="1"/>
  <c r="H14" i="3" a="1"/>
  <c r="H14" i="3" s="1"/>
  <c r="H3" i="3" a="1"/>
  <c r="H3" i="3" s="1"/>
  <c r="H4" i="3" a="1"/>
  <c r="H4" i="3" s="1"/>
  <c r="H5" i="3" a="1"/>
  <c r="H5" i="3" s="1"/>
  <c r="H6" i="3" a="1"/>
  <c r="H6" i="3" s="1"/>
  <c r="H7" i="3" a="1"/>
  <c r="H7" i="3" s="1"/>
  <c r="H12" i="3" a="1"/>
  <c r="H12" i="3" s="1"/>
  <c r="H15" i="3" a="1"/>
  <c r="H15" i="3" s="1"/>
  <c r="H16" i="3" a="1"/>
  <c r="H16" i="3" s="1"/>
  <c r="H17" i="3" a="1"/>
  <c r="H17" i="3" s="1"/>
  <c r="H18" i="3" a="1"/>
  <c r="H18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9" i="3" l="1" a="1"/>
  <c r="H9" i="3" s="1"/>
  <c r="L10" i="4"/>
  <c r="O8" i="4"/>
  <c r="B3" i="2"/>
  <c r="B2" i="2"/>
  <c r="R17" i="4"/>
  <c r="U17" i="4"/>
  <c r="L4" i="4"/>
  <c r="R12" i="1"/>
  <c r="R10" i="1"/>
  <c r="S10" i="1" s="1"/>
  <c r="R8" i="1"/>
  <c r="O4" i="4" l="1"/>
  <c r="L14" i="4"/>
  <c r="U7" i="1"/>
  <c r="O15" i="4"/>
  <c r="L5" i="4"/>
  <c r="C6" i="2"/>
  <c r="C7" i="2"/>
  <c r="D6" i="2"/>
  <c r="D7" i="2"/>
  <c r="E6" i="2"/>
  <c r="E10" i="2"/>
  <c r="U12" i="1"/>
  <c r="R2" i="1"/>
  <c r="S2" i="1"/>
  <c r="O47" i="1" a="1"/>
  <c r="O47" i="1" s="1"/>
  <c r="R3" i="1"/>
  <c r="U3" i="1"/>
  <c r="D10" i="2"/>
  <c r="C10" i="2"/>
  <c r="O3" i="1" a="1"/>
  <c r="O3" i="1" s="1"/>
  <c r="O4" i="1" a="1"/>
  <c r="O4" i="1" s="1"/>
  <c r="S3" i="1"/>
  <c r="U2" i="1"/>
  <c r="J6" i="2"/>
  <c r="J10" i="2"/>
  <c r="U8" i="1"/>
  <c r="O36" i="1" a="1"/>
  <c r="O36" i="1" s="1"/>
  <c r="O11" i="1" a="1"/>
  <c r="O11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37" i="1" a="1"/>
  <c r="O37" i="1" s="1"/>
  <c r="R14" i="1"/>
  <c r="U14" i="1"/>
  <c r="R13" i="1"/>
  <c r="U13" i="1"/>
  <c r="S12" i="1"/>
  <c r="O280" i="1" s="1" a="1"/>
  <c r="O280" i="1" s="1"/>
  <c r="R11" i="1"/>
  <c r="U11" i="1"/>
  <c r="U10" i="1"/>
  <c r="R9" i="1"/>
  <c r="U9" i="1"/>
  <c r="S8" i="1"/>
  <c r="O92" i="1" s="1" a="1"/>
  <c r="O92" i="1" s="1"/>
  <c r="R6" i="1"/>
  <c r="R5" i="1"/>
  <c r="R4" i="1"/>
  <c r="O6" i="2"/>
  <c r="O10" i="2"/>
  <c r="R7" i="1"/>
  <c r="M6" i="2"/>
  <c r="M10" i="2"/>
  <c r="F6" i="2"/>
  <c r="G6" i="2"/>
  <c r="H6" i="2"/>
  <c r="H10" i="2"/>
  <c r="I6" i="2"/>
  <c r="I10" i="2"/>
  <c r="K6" i="2"/>
  <c r="L6" i="2"/>
  <c r="L10" i="2"/>
  <c r="N6" i="2"/>
  <c r="N10" i="2"/>
  <c r="K10" i="2"/>
  <c r="K7" i="2"/>
  <c r="G7" i="2"/>
  <c r="G10" i="2"/>
  <c r="F7" i="2"/>
  <c r="F10" i="2"/>
  <c r="U6" i="1"/>
  <c r="S6" i="1"/>
  <c r="O27" i="1" a="1"/>
  <c r="O27" i="1" s="1"/>
  <c r="O26" i="1" a="1"/>
  <c r="O26" i="1" s="1"/>
  <c r="S4" i="1"/>
  <c r="O2" i="1" a="1"/>
  <c r="O2" i="1" s="1"/>
  <c r="U4" i="1"/>
  <c r="S5" i="1"/>
  <c r="U5" i="1"/>
  <c r="L7" i="2"/>
  <c r="M7" i="2"/>
  <c r="H7" i="2"/>
  <c r="O71" i="1" a="1"/>
  <c r="O71" i="1" s="1"/>
  <c r="S11" i="1"/>
  <c r="S7" i="1"/>
  <c r="E7" i="2"/>
  <c r="O91" i="1" a="1"/>
  <c r="O91" i="1" s="1"/>
  <c r="I7" i="2"/>
  <c r="O7" i="2"/>
  <c r="N7" i="2"/>
  <c r="S14" i="1"/>
  <c r="S13" i="1"/>
  <c r="J7" i="2"/>
  <c r="S9" i="1"/>
  <c r="O28" i="1" a="1"/>
  <c r="O28" i="1" s="1"/>
  <c r="O18" i="1" a="1"/>
  <c r="O18" i="1" s="1"/>
  <c r="O19" i="1" a="1"/>
  <c r="O19" i="1" s="1"/>
  <c r="O17" i="1" a="1"/>
  <c r="O17" i="1" s="1"/>
  <c r="O31" i="1" a="1"/>
  <c r="O31" i="1" s="1"/>
  <c r="O32" i="1" a="1"/>
  <c r="O32" i="1"/>
  <c r="O25" i="1" a="1"/>
  <c r="O25" i="1" s="1"/>
  <c r="O23" i="1" a="1"/>
  <c r="O23" i="1" s="1"/>
  <c r="O24" i="1" a="1"/>
  <c r="O24" i="1" s="1"/>
  <c r="O30" i="1" a="1"/>
  <c r="O30" i="1" s="1"/>
  <c r="O29" i="1" a="1"/>
  <c r="O29" i="1" s="1"/>
  <c r="O113" i="1" a="1"/>
  <c r="O113" i="1" s="1"/>
  <c r="O12" i="1" a="1"/>
  <c r="O12" i="1" s="1"/>
  <c r="O14" i="1" a="1"/>
  <c r="O14" i="1" s="1"/>
  <c r="O15" i="1" a="1"/>
  <c r="O15" i="1" s="1"/>
  <c r="O16" i="1" a="1"/>
  <c r="O16" i="1" s="1"/>
  <c r="O13" i="1" a="1"/>
  <c r="O13" i="1" s="1"/>
  <c r="O45" i="1" a="1"/>
  <c r="O45" i="1" s="1"/>
  <c r="O33" i="1" a="1"/>
  <c r="O33" i="1" s="1"/>
  <c r="O21" i="1" a="1"/>
  <c r="O21" i="1" s="1"/>
  <c r="O22" i="1" a="1"/>
  <c r="O22" i="1" s="1"/>
  <c r="O20" i="1" a="1"/>
  <c r="O20" i="1" s="1"/>
  <c r="O46" i="1" a="1"/>
  <c r="O46" i="1" s="1"/>
  <c r="O35" i="1" a="1"/>
  <c r="O35" i="1" s="1"/>
  <c r="O34" i="1" a="1"/>
  <c r="O34" i="1" s="1"/>
  <c r="O287" i="1" a="1"/>
  <c r="O287" i="1" s="1"/>
  <c r="O257" i="1" a="1"/>
  <c r="O257" i="1"/>
  <c r="O232" i="1" a="1"/>
  <c r="O232" i="1" s="1"/>
  <c r="O80" i="1" a="1"/>
  <c r="O80" i="1" s="1"/>
  <c r="O50" i="1" a="1"/>
  <c r="O50" i="1" s="1"/>
  <c r="O290" i="1" a="1"/>
  <c r="O290" i="1" s="1"/>
  <c r="O58" i="1" a="1"/>
  <c r="O58" i="1"/>
  <c r="O79" i="1" a="1"/>
  <c r="O79" i="1" s="1"/>
  <c r="O159" i="1" a="1"/>
  <c r="O159" i="1" s="1"/>
  <c r="O57" i="1" a="1"/>
  <c r="O57" i="1" s="1"/>
  <c r="O56" i="1" a="1"/>
  <c r="O56" i="1" s="1"/>
  <c r="O39" i="1" a="1"/>
  <c r="O39" i="1" s="1"/>
  <c r="O40" i="1" a="1"/>
  <c r="O40" i="1" s="1"/>
  <c r="O38" i="1" a="1"/>
  <c r="O38" i="1" s="1"/>
  <c r="O43" i="1" a="1"/>
  <c r="O43" i="1"/>
  <c r="O44" i="1" a="1"/>
  <c r="O44" i="1" s="1"/>
  <c r="O55" i="1" a="1"/>
  <c r="O55" i="1" s="1"/>
  <c r="O81" i="1" a="1"/>
  <c r="O81" i="1"/>
  <c r="O41" i="1" a="1"/>
  <c r="O41" i="1" s="1"/>
  <c r="O73" i="1" a="1"/>
  <c r="O73" i="1" s="1"/>
  <c r="O51" i="1" a="1"/>
  <c r="O51" i="1" s="1"/>
  <c r="O52" i="1" a="1"/>
  <c r="O52" i="1" s="1"/>
  <c r="O48" i="1" a="1"/>
  <c r="O48" i="1" s="1"/>
  <c r="O49" i="1" a="1"/>
  <c r="O49" i="1" s="1"/>
  <c r="O68" i="1" a="1"/>
  <c r="O68" i="1" s="1"/>
  <c r="O54" i="1" a="1"/>
  <c r="O54" i="1" s="1"/>
  <c r="O63" i="1" a="1"/>
  <c r="O63" i="1" s="1"/>
  <c r="O60" i="1" a="1"/>
  <c r="O60" i="1" s="1"/>
  <c r="O61" i="1" a="1"/>
  <c r="O61" i="1" s="1"/>
  <c r="O62" i="1" a="1"/>
  <c r="O62" i="1" s="1"/>
  <c r="O66" i="1" a="1"/>
  <c r="O66" i="1" s="1"/>
  <c r="O67" i="1" a="1"/>
  <c r="O67" i="1" s="1"/>
  <c r="O84" i="1" a="1"/>
  <c r="O84" i="1" s="1"/>
  <c r="O59" i="1" a="1"/>
  <c r="O59" i="1" s="1"/>
  <c r="O75" i="1" a="1"/>
  <c r="O75" i="1"/>
  <c r="O69" i="1" a="1"/>
  <c r="O69" i="1" s="1"/>
  <c r="O110" i="1" a="1"/>
  <c r="O110" i="1" s="1"/>
  <c r="O74" i="1" a="1"/>
  <c r="O74" i="1" s="1"/>
  <c r="P10" i="2"/>
  <c r="O76" i="1" a="1"/>
  <c r="O76" i="1" s="1"/>
  <c r="O77" i="1" a="1"/>
  <c r="O77" i="1" s="1"/>
  <c r="O78" i="1" a="1"/>
  <c r="O78" i="1" s="1"/>
  <c r="O96" i="1" a="1"/>
  <c r="O96" i="1" s="1"/>
  <c r="O95" i="1" a="1"/>
  <c r="O95" i="1" s="1"/>
  <c r="O87" i="1" a="1"/>
  <c r="O87" i="1" s="1"/>
  <c r="O86" i="1" a="1"/>
  <c r="O86" i="1" s="1"/>
  <c r="O88" i="1" a="1"/>
  <c r="O88" i="1" s="1"/>
  <c r="O89" i="1" a="1"/>
  <c r="O89" i="1" s="1"/>
  <c r="O85" i="1" a="1"/>
  <c r="O85" i="1" s="1"/>
  <c r="O90" i="1" a="1"/>
  <c r="O90" i="1" s="1"/>
  <c r="O103" i="1" a="1"/>
  <c r="O103" i="1" s="1"/>
  <c r="O107" i="1" a="1"/>
  <c r="O107" i="1" s="1"/>
  <c r="O108" i="1" a="1"/>
  <c r="O108" i="1" s="1"/>
  <c r="O104" i="1" a="1"/>
  <c r="O104" i="1"/>
  <c r="O105" i="1" a="1"/>
  <c r="O105" i="1" s="1"/>
  <c r="O106" i="1" a="1"/>
  <c r="O106" i="1" s="1"/>
  <c r="O97" i="1" a="1"/>
  <c r="O97" i="1" s="1"/>
  <c r="O102" i="1" a="1"/>
  <c r="O102" i="1" s="1"/>
  <c r="O98" i="1" a="1"/>
  <c r="O98" i="1" s="1"/>
  <c r="O99" i="1" a="1"/>
  <c r="O99" i="1" s="1"/>
  <c r="O100" i="1" a="1"/>
  <c r="O100" i="1" s="1"/>
  <c r="O101" i="1" a="1"/>
  <c r="O101" i="1"/>
  <c r="O82" i="1" a="1"/>
  <c r="O82" i="1" s="1"/>
  <c r="O83" i="1" a="1"/>
  <c r="O83" i="1" s="1"/>
  <c r="O115" i="1" a="1"/>
  <c r="O115" i="1" s="1"/>
  <c r="O129" i="1" a="1"/>
  <c r="O129" i="1" s="1"/>
  <c r="O119" i="1" a="1"/>
  <c r="O119" i="1" s="1"/>
  <c r="O111" i="1" a="1"/>
  <c r="O111" i="1" s="1"/>
  <c r="O112" i="1" a="1"/>
  <c r="O112" i="1" s="1"/>
  <c r="O125" i="1" a="1"/>
  <c r="O125" i="1" s="1"/>
  <c r="O116" i="1" a="1"/>
  <c r="O116" i="1" s="1"/>
  <c r="O121" i="1" a="1"/>
  <c r="O121" i="1" s="1"/>
  <c r="O114" i="1" a="1"/>
  <c r="O114" i="1" s="1"/>
  <c r="O118" i="1" a="1"/>
  <c r="O118" i="1" s="1"/>
  <c r="O117" i="1" a="1"/>
  <c r="O117" i="1"/>
  <c r="O146" i="1" a="1"/>
  <c r="O146" i="1" s="1"/>
  <c r="O126" i="1" a="1"/>
  <c r="O126" i="1" s="1"/>
  <c r="O158" i="1" a="1"/>
  <c r="O158" i="1" s="1"/>
  <c r="O131" i="1" a="1"/>
  <c r="O131" i="1" s="1"/>
  <c r="O130" i="1" a="1"/>
  <c r="O130" i="1" s="1"/>
  <c r="O248" i="1" a="1"/>
  <c r="O248" i="1"/>
  <c r="O120" i="1" a="1"/>
  <c r="O120" i="1" s="1"/>
  <c r="O170" i="1" a="1"/>
  <c r="O170" i="1" s="1"/>
  <c r="O124" i="1" a="1"/>
  <c r="O124" i="1" s="1"/>
  <c r="O246" i="1" a="1"/>
  <c r="O246" i="1" s="1"/>
  <c r="O291" i="1" a="1"/>
  <c r="O291" i="1" s="1"/>
  <c r="O289" i="1" a="1"/>
  <c r="O289" i="1" s="1"/>
  <c r="O256" i="1" a="1"/>
  <c r="O256" i="1" s="1"/>
  <c r="O150" i="1" a="1"/>
  <c r="O150" i="1" s="1"/>
  <c r="O288" i="1" a="1"/>
  <c r="O288" i="1" s="1"/>
  <c r="O152" i="1" a="1"/>
  <c r="O152" i="1" s="1"/>
  <c r="O243" i="1" a="1"/>
  <c r="O243" i="1" s="1"/>
  <c r="O304" i="1" a="1"/>
  <c r="O304" i="1" s="1"/>
  <c r="O266" i="1" a="1"/>
  <c r="O266" i="1" s="1"/>
  <c r="O267" i="1" a="1"/>
  <c r="O267" i="1" s="1"/>
  <c r="O264" i="1" a="1"/>
  <c r="O264" i="1" s="1"/>
  <c r="O151" i="1" a="1"/>
  <c r="O151" i="1" s="1"/>
  <c r="O139" i="1" a="1"/>
  <c r="O139" i="1" s="1"/>
  <c r="O138" i="1" a="1"/>
  <c r="O138" i="1" s="1"/>
  <c r="O140" i="1" a="1"/>
  <c r="O140" i="1" s="1"/>
  <c r="O141" i="1" a="1"/>
  <c r="O141" i="1" s="1"/>
  <c r="O153" i="1" a="1"/>
  <c r="O153" i="1" s="1"/>
  <c r="O137" i="1" a="1"/>
  <c r="O137" i="1" s="1"/>
  <c r="O294" i="1" a="1"/>
  <c r="O294" i="1" s="1"/>
  <c r="O234" i="1" a="1"/>
  <c r="O234" i="1" s="1"/>
  <c r="O258" i="1" a="1"/>
  <c r="O258" i="1" s="1"/>
  <c r="O233" i="1" a="1"/>
  <c r="O233" i="1" s="1"/>
  <c r="O247" i="1" a="1"/>
  <c r="O247" i="1"/>
  <c r="O292" i="1" a="1"/>
  <c r="O292" i="1" s="1"/>
  <c r="O293" i="1" a="1"/>
  <c r="O293" i="1" s="1"/>
  <c r="O142" i="1" a="1"/>
  <c r="O142" i="1" s="1"/>
  <c r="O143" i="1" a="1"/>
  <c r="O143" i="1" s="1"/>
  <c r="O154" i="1" a="1"/>
  <c r="O154" i="1" s="1"/>
  <c r="O144" i="1" a="1"/>
  <c r="O144" i="1" s="1"/>
  <c r="O155" i="1" a="1"/>
  <c r="O155" i="1" s="1"/>
  <c r="O145" i="1" a="1"/>
  <c r="O145" i="1" s="1"/>
  <c r="O132" i="1" a="1"/>
  <c r="O132" i="1" s="1"/>
  <c r="O135" i="1" a="1"/>
  <c r="O135" i="1" s="1"/>
  <c r="O133" i="1" a="1"/>
  <c r="O133" i="1" s="1"/>
  <c r="O134" i="1" a="1"/>
  <c r="O134" i="1" s="1"/>
  <c r="O136" i="1" a="1"/>
  <c r="O136" i="1" s="1"/>
  <c r="O147" i="1" a="1"/>
  <c r="O147" i="1" s="1"/>
  <c r="O148" i="1" a="1"/>
  <c r="O148" i="1" s="1"/>
  <c r="O149" i="1" a="1"/>
  <c r="O149" i="1" s="1"/>
  <c r="O156" i="1" a="1"/>
  <c r="O156" i="1"/>
  <c r="O157" i="1" a="1"/>
  <c r="O157" i="1" s="1"/>
  <c r="O172" i="1" a="1"/>
  <c r="O172" i="1" s="1"/>
  <c r="O274" i="1" a="1"/>
  <c r="O274" i="1" s="1"/>
  <c r="O275" i="1" a="1"/>
  <c r="O275" i="1" s="1"/>
  <c r="O244" i="1" a="1"/>
  <c r="O244" i="1" s="1"/>
  <c r="O309" i="1" a="1"/>
  <c r="O309" i="1" s="1"/>
  <c r="O252" i="1" a="1"/>
  <c r="O252" i="1" s="1"/>
  <c r="O272" i="1" a="1"/>
  <c r="O272" i="1" s="1"/>
  <c r="O273" i="1" a="1"/>
  <c r="O273" i="1" s="1"/>
  <c r="O268" i="1" a="1"/>
  <c r="O268" i="1" s="1"/>
  <c r="O307" i="1" a="1"/>
  <c r="O307" i="1" s="1"/>
  <c r="O306" i="1" a="1"/>
  <c r="O306" i="1" s="1"/>
  <c r="O171" i="1" a="1"/>
  <c r="O171" i="1" s="1"/>
  <c r="O269" i="1" a="1"/>
  <c r="O269" i="1" s="1"/>
  <c r="O308" i="1" a="1"/>
  <c r="O308" i="1" s="1"/>
  <c r="O270" i="1" a="1"/>
  <c r="O270" i="1"/>
  <c r="O239" i="1" a="1"/>
  <c r="O239" i="1" s="1"/>
  <c r="O271" i="1" a="1"/>
  <c r="O271" i="1"/>
  <c r="O240" i="1" a="1"/>
  <c r="O240" i="1" s="1"/>
  <c r="O241" i="1" a="1"/>
  <c r="O241" i="1" s="1"/>
  <c r="O261" i="1" a="1"/>
  <c r="O261" i="1" s="1"/>
  <c r="O300" i="1" a="1"/>
  <c r="O300" i="1" s="1"/>
  <c r="O249" i="1" a="1"/>
  <c r="O249" i="1" s="1"/>
  <c r="O262" i="1" a="1"/>
  <c r="O262" i="1" s="1"/>
  <c r="O301" i="1" a="1"/>
  <c r="O301" i="1" s="1"/>
  <c r="O237" i="1" a="1"/>
  <c r="O237" i="1" s="1"/>
  <c r="O250" i="1" a="1"/>
  <c r="O250" i="1" s="1"/>
  <c r="O302" i="1" a="1"/>
  <c r="O302" i="1"/>
  <c r="O238" i="1" a="1"/>
  <c r="O238" i="1" s="1"/>
  <c r="O296" i="1" a="1"/>
  <c r="O296" i="1" s="1"/>
  <c r="O251" i="1" a="1"/>
  <c r="O251" i="1" s="1"/>
  <c r="O297" i="1" a="1"/>
  <c r="O297" i="1"/>
  <c r="O298" i="1" a="1"/>
  <c r="O298" i="1" s="1"/>
  <c r="O299" i="1" a="1"/>
  <c r="O299" i="1" s="1"/>
  <c r="O164" i="1" a="1"/>
  <c r="O164" i="1" s="1"/>
  <c r="O242" i="1" a="1"/>
  <c r="O242" i="1" s="1"/>
  <c r="O313" i="1" a="1"/>
  <c r="O313" i="1" s="1"/>
  <c r="O281" i="1" a="1"/>
  <c r="O281" i="1" s="1"/>
  <c r="O314" i="1" a="1"/>
  <c r="O314" i="1" s="1"/>
  <c r="O282" i="1" a="1"/>
  <c r="O282" i="1" s="1"/>
  <c r="O315" i="1" a="1"/>
  <c r="O315" i="1" s="1"/>
  <c r="O316" i="1" a="1"/>
  <c r="O316" i="1" s="1"/>
  <c r="O283" i="1" a="1"/>
  <c r="O283" i="1" s="1"/>
  <c r="O168" i="1" a="1"/>
  <c r="O168" i="1" s="1"/>
  <c r="O235" i="1" a="1"/>
  <c r="O235" i="1" s="1"/>
  <c r="O236" i="1" a="1"/>
  <c r="O236" i="1" s="1"/>
  <c r="O295" i="1" a="1"/>
  <c r="O295" i="1" s="1"/>
  <c r="O259" i="1" a="1"/>
  <c r="O259" i="1" s="1"/>
  <c r="O260" i="1" a="1"/>
  <c r="O260" i="1" s="1"/>
  <c r="O173" i="1" a="1"/>
  <c r="O173" i="1" s="1"/>
  <c r="O255" i="1" a="1"/>
  <c r="O255" i="1" s="1"/>
  <c r="O317" i="1" a="1"/>
  <c r="O317" i="1" s="1"/>
  <c r="O254" i="1" a="1"/>
  <c r="O254" i="1" s="1"/>
  <c r="O165" i="1" a="1"/>
  <c r="O165" i="1"/>
  <c r="O229" i="1" a="1"/>
  <c r="O229" i="1" s="1"/>
  <c r="O230" i="1" a="1"/>
  <c r="O230" i="1" s="1"/>
  <c r="O231" i="1" a="1"/>
  <c r="O231" i="1"/>
  <c r="O245" i="1" a="1"/>
  <c r="O245" i="1" s="1"/>
  <c r="O284" i="1" a="1"/>
  <c r="O284" i="1" s="1"/>
  <c r="O228" i="1" a="1"/>
  <c r="O228" i="1" s="1"/>
  <c r="O285" i="1" a="1"/>
  <c r="O285" i="1"/>
  <c r="O286" i="1" a="1"/>
  <c r="O286" i="1" s="1"/>
  <c r="O169" i="1" a="1"/>
  <c r="O169" i="1" s="1"/>
  <c r="O160" i="1" a="1"/>
  <c r="O160" i="1" s="1"/>
  <c r="O166" i="1" a="1"/>
  <c r="O166" i="1" s="1"/>
  <c r="O167" i="1" a="1"/>
  <c r="O167" i="1" s="1"/>
  <c r="O14" i="4" l="1"/>
  <c r="O128" i="1" a="1"/>
  <c r="O128" i="1" s="1"/>
  <c r="O312" i="1" a="1"/>
  <c r="O312" i="1" s="1"/>
  <c r="O127" i="1" a="1"/>
  <c r="O127" i="1" s="1"/>
  <c r="O279" i="1" a="1"/>
  <c r="O279" i="1" s="1"/>
  <c r="O162" i="1" a="1"/>
  <c r="O162" i="1" s="1"/>
  <c r="O311" i="1" a="1"/>
  <c r="O311" i="1" s="1"/>
  <c r="O253" i="1" a="1"/>
  <c r="O253" i="1" s="1"/>
  <c r="O163" i="1" a="1"/>
  <c r="O163" i="1" s="1"/>
  <c r="U16" i="1"/>
  <c r="O161" i="1" a="1"/>
  <c r="O161" i="1" s="1"/>
  <c r="O53" i="1" a="1"/>
  <c r="O53" i="1" s="1"/>
  <c r="O277" i="1" a="1"/>
  <c r="O277" i="1" s="1"/>
  <c r="O109" i="1" a="1"/>
  <c r="O109" i="1" s="1"/>
  <c r="O278" i="1" a="1"/>
  <c r="O278" i="1" s="1"/>
  <c r="O310" i="1" a="1"/>
  <c r="O310" i="1" s="1"/>
  <c r="O276" i="1" a="1"/>
  <c r="O276" i="1" s="1"/>
  <c r="O42" i="1" a="1"/>
  <c r="O42" i="1" s="1"/>
  <c r="O72" i="1" a="1"/>
  <c r="O72" i="1" s="1"/>
  <c r="O70" i="1" a="1"/>
  <c r="O70" i="1" s="1"/>
  <c r="O263" i="1" a="1"/>
  <c r="O263" i="1" s="1"/>
  <c r="O265" i="1" a="1"/>
  <c r="O265" i="1" s="1"/>
  <c r="O123" i="1" a="1"/>
  <c r="O123" i="1" s="1"/>
  <c r="O303" i="1" a="1"/>
  <c r="O303" i="1" s="1"/>
  <c r="O122" i="1" a="1"/>
  <c r="O122" i="1" s="1"/>
  <c r="O65" i="1" a="1"/>
  <c r="O65" i="1" s="1"/>
  <c r="O64" i="1" a="1"/>
  <c r="O64" i="1" s="1"/>
  <c r="O94" i="1" a="1"/>
  <c r="O94" i="1" s="1"/>
  <c r="O93" i="1" a="1"/>
  <c r="O93" i="1" s="1"/>
  <c r="O305" i="1" a="1"/>
  <c r="O305" i="1" s="1"/>
  <c r="O1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<sst xmlns="http://schemas.openxmlformats.org/spreadsheetml/2006/main" count="2721" uniqueCount="420">
  <si>
    <t>Away_Team</t>
  </si>
  <si>
    <t>Home_Team</t>
  </si>
  <si>
    <t>Spread</t>
  </si>
  <si>
    <t>Will_Cover</t>
  </si>
  <si>
    <t>Confidence</t>
  </si>
  <si>
    <t>Home_ORtg</t>
  </si>
  <si>
    <t>Home_DRtg</t>
  </si>
  <si>
    <t>Home_AdjT</t>
  </si>
  <si>
    <t>Away_ORtg</t>
  </si>
  <si>
    <t>Away_DRtg</t>
  </si>
  <si>
    <t>Away_AdjT</t>
  </si>
  <si>
    <t>NetRtg_Diff</t>
  </si>
  <si>
    <t>Result</t>
  </si>
  <si>
    <t>Lehigh</t>
  </si>
  <si>
    <t>Bucknell</t>
  </si>
  <si>
    <t>Y</t>
  </si>
  <si>
    <t>Arizona</t>
  </si>
  <si>
    <t>Baylor</t>
  </si>
  <si>
    <t>N</t>
  </si>
  <si>
    <t>Date</t>
  </si>
  <si>
    <t>Stetson</t>
  </si>
  <si>
    <t>Lipscomb</t>
  </si>
  <si>
    <t>Longwood</t>
  </si>
  <si>
    <t>High Point</t>
  </si>
  <si>
    <t>Denver</t>
  </si>
  <si>
    <t>North Dakota</t>
  </si>
  <si>
    <t>Njit</t>
  </si>
  <si>
    <t>Bryant</t>
  </si>
  <si>
    <t>San Diego</t>
  </si>
  <si>
    <t>Pepperdine</t>
  </si>
  <si>
    <t>San Francisco</t>
  </si>
  <si>
    <t>Gonzaga</t>
  </si>
  <si>
    <t>Delaware</t>
  </si>
  <si>
    <t>Towson</t>
  </si>
  <si>
    <t>Kansas City</t>
  </si>
  <si>
    <t>South Dakota</t>
  </si>
  <si>
    <t>Maryland</t>
  </si>
  <si>
    <t>Nebraska</t>
  </si>
  <si>
    <t>Wagner</t>
  </si>
  <si>
    <t>Le Moyne</t>
  </si>
  <si>
    <t>Uc Riverside</t>
  </si>
  <si>
    <t>Uc Davis</t>
  </si>
  <si>
    <t>Depaul</t>
  </si>
  <si>
    <t>Xavier</t>
  </si>
  <si>
    <t>Utah Tech</t>
  </si>
  <si>
    <t>Cal Baptist</t>
  </si>
  <si>
    <t>Austin Peay</t>
  </si>
  <si>
    <t>Monmouth</t>
  </si>
  <si>
    <t>Vmi</t>
  </si>
  <si>
    <t>Mercer</t>
  </si>
  <si>
    <t>Arkansas</t>
  </si>
  <si>
    <t>Texas A&amp;M</t>
  </si>
  <si>
    <t>P</t>
  </si>
  <si>
    <t>Lsu</t>
  </si>
  <si>
    <t>Oklahoma</t>
  </si>
  <si>
    <t>Princeton</t>
  </si>
  <si>
    <t>Yale</t>
  </si>
  <si>
    <t>Duquesne</t>
  </si>
  <si>
    <t>Dayton</t>
  </si>
  <si>
    <t>Minnesota</t>
  </si>
  <si>
    <t>Usc</t>
  </si>
  <si>
    <t>La Salle</t>
  </si>
  <si>
    <t>Rhode Island</t>
  </si>
  <si>
    <t>Rice</t>
  </si>
  <si>
    <t>Tulane</t>
  </si>
  <si>
    <t>Holy Cross</t>
  </si>
  <si>
    <t>Wisconsin</t>
  </si>
  <si>
    <t>Purdue</t>
  </si>
  <si>
    <t>Mercyhurst</t>
  </si>
  <si>
    <t>Stonehill</t>
  </si>
  <si>
    <t>Oral Roberts</t>
  </si>
  <si>
    <t>Loyola Md</t>
  </si>
  <si>
    <t>American</t>
  </si>
  <si>
    <t>Stanford</t>
  </si>
  <si>
    <t>Duke</t>
  </si>
  <si>
    <t>Campbell</t>
  </si>
  <si>
    <t>Vanderbilt</t>
  </si>
  <si>
    <t>Tennessee</t>
  </si>
  <si>
    <t>Georgetown</t>
  </si>
  <si>
    <t>Butler</t>
  </si>
  <si>
    <t>Ucf</t>
  </si>
  <si>
    <t>Colorado</t>
  </si>
  <si>
    <t>Vermont</t>
  </si>
  <si>
    <t>Maine</t>
  </si>
  <si>
    <t>Kentucky</t>
  </si>
  <si>
    <t>Texas</t>
  </si>
  <si>
    <t>Army</t>
  </si>
  <si>
    <t>Navy</t>
  </si>
  <si>
    <t>Presbyterian</t>
  </si>
  <si>
    <t>Columbia</t>
  </si>
  <si>
    <t>Harvard</t>
  </si>
  <si>
    <t>Pacific</t>
  </si>
  <si>
    <t>Santa Clara</t>
  </si>
  <si>
    <t>Richmond</t>
  </si>
  <si>
    <t>Vcu</t>
  </si>
  <si>
    <t>Bellarmine</t>
  </si>
  <si>
    <t>Brown</t>
  </si>
  <si>
    <t>Charlotte</t>
  </si>
  <si>
    <t>Uab</t>
  </si>
  <si>
    <t>Cornell</t>
  </si>
  <si>
    <t>Utsa</t>
  </si>
  <si>
    <t>North Texas</t>
  </si>
  <si>
    <t>Portland</t>
  </si>
  <si>
    <t>Connecticut</t>
  </si>
  <si>
    <t>Marquette</t>
  </si>
  <si>
    <t>Chattanooga</t>
  </si>
  <si>
    <t>Lafayette</t>
  </si>
  <si>
    <t>Colgate</t>
  </si>
  <si>
    <t>Cal Poly</t>
  </si>
  <si>
    <t>Syracuse</t>
  </si>
  <si>
    <t>California</t>
  </si>
  <si>
    <t>Dartmouth</t>
  </si>
  <si>
    <t>Georgia</t>
  </si>
  <si>
    <t>Alabama</t>
  </si>
  <si>
    <t>Binghamton</t>
  </si>
  <si>
    <t>Albany</t>
  </si>
  <si>
    <t>Uc Irvine</t>
  </si>
  <si>
    <t>Texas Tech</t>
  </si>
  <si>
    <t>Houston</t>
  </si>
  <si>
    <t>Washington</t>
  </si>
  <si>
    <t>Unlv</t>
  </si>
  <si>
    <t>Nevada</t>
  </si>
  <si>
    <t>Drexel</t>
  </si>
  <si>
    <t>Pittsburgh</t>
  </si>
  <si>
    <t>Wake Forest</t>
  </si>
  <si>
    <t>Byu</t>
  </si>
  <si>
    <t>Kansas</t>
  </si>
  <si>
    <t>Florida</t>
  </si>
  <si>
    <t>Creighton</t>
  </si>
  <si>
    <t>Villanova</t>
  </si>
  <si>
    <t>Seton Hall</t>
  </si>
  <si>
    <t>Air Force</t>
  </si>
  <si>
    <t>Wyoming</t>
  </si>
  <si>
    <t>Ucla</t>
  </si>
  <si>
    <t>Illinois</t>
  </si>
  <si>
    <t>95-99%</t>
  </si>
  <si>
    <t>93-95%</t>
  </si>
  <si>
    <t>90-93%</t>
  </si>
  <si>
    <t>85-90%</t>
  </si>
  <si>
    <t>80-85%</t>
  </si>
  <si>
    <t>75-80%</t>
  </si>
  <si>
    <t>70-75%</t>
  </si>
  <si>
    <t>65-70%</t>
  </si>
  <si>
    <t>60-65%</t>
  </si>
  <si>
    <t>55-60%</t>
  </si>
  <si>
    <t>50-55%</t>
  </si>
  <si>
    <t>Fresno St</t>
  </si>
  <si>
    <t>San Diego St</t>
  </si>
  <si>
    <t>Iowa St</t>
  </si>
  <si>
    <t>Ball St</t>
  </si>
  <si>
    <t>Toledo</t>
  </si>
  <si>
    <t>Michigan St</t>
  </si>
  <si>
    <t>Colorado St</t>
  </si>
  <si>
    <t>S Carolina</t>
  </si>
  <si>
    <t>Tulsa</t>
  </si>
  <si>
    <t>San Jose St</t>
  </si>
  <si>
    <t>Utah St</t>
  </si>
  <si>
    <t>Fordham</t>
  </si>
  <si>
    <t>Furman</t>
  </si>
  <si>
    <t>Samford</t>
  </si>
  <si>
    <t>Auburn</t>
  </si>
  <si>
    <t>Evansville</t>
  </si>
  <si>
    <t>Indiana St</t>
  </si>
  <si>
    <t>Providence</t>
  </si>
  <si>
    <t>Missouri St</t>
  </si>
  <si>
    <t>Valparaiso</t>
  </si>
  <si>
    <t>Rutgers</t>
  </si>
  <si>
    <t>Oklahoma St</t>
  </si>
  <si>
    <t>New Mexico</t>
  </si>
  <si>
    <t>Boise St</t>
  </si>
  <si>
    <t>Penn St</t>
  </si>
  <si>
    <t>Cincinnati</t>
  </si>
  <si>
    <t>W Virginia</t>
  </si>
  <si>
    <t>Missouri</t>
  </si>
  <si>
    <t>Louisiana</t>
  </si>
  <si>
    <t>Troy</t>
  </si>
  <si>
    <t>Northwestern</t>
  </si>
  <si>
    <t>Ohio St</t>
  </si>
  <si>
    <t>Hofstra</t>
  </si>
  <si>
    <t>Queens</t>
  </si>
  <si>
    <t>Portland St</t>
  </si>
  <si>
    <t>Idaho St</t>
  </si>
  <si>
    <t>Canisius</t>
  </si>
  <si>
    <t>Marist</t>
  </si>
  <si>
    <t>Niagara</t>
  </si>
  <si>
    <t>Siena</t>
  </si>
  <si>
    <t>Michigan</t>
  </si>
  <si>
    <t>Fairfield</t>
  </si>
  <si>
    <t>Rider</t>
  </si>
  <si>
    <t>Manhattan</t>
  </si>
  <si>
    <t>Iona</t>
  </si>
  <si>
    <t>Iowa</t>
  </si>
  <si>
    <t>Oregon</t>
  </si>
  <si>
    <t>Radford</t>
  </si>
  <si>
    <t>BYU</t>
  </si>
  <si>
    <t>VMI</t>
  </si>
  <si>
    <t>St Louis</t>
  </si>
  <si>
    <t>Seattle</t>
  </si>
  <si>
    <t>Utah Valley</t>
  </si>
  <si>
    <t>LIU</t>
  </si>
  <si>
    <t>Mississippi</t>
  </si>
  <si>
    <t>Temple</t>
  </si>
  <si>
    <t>UAB</t>
  </si>
  <si>
    <t>Utah</t>
  </si>
  <si>
    <t>UCF</t>
  </si>
  <si>
    <t>USC</t>
  </si>
  <si>
    <t>Merrimack</t>
  </si>
  <si>
    <t>Stony Brook</t>
  </si>
  <si>
    <t>Hampton</t>
  </si>
  <si>
    <t>`</t>
  </si>
  <si>
    <t>South Carolina</t>
  </si>
  <si>
    <t>Georgia Tech</t>
  </si>
  <si>
    <t>Old Dominion</t>
  </si>
  <si>
    <t>Marshall</t>
  </si>
  <si>
    <t>TCU</t>
  </si>
  <si>
    <t>West Virginia</t>
  </si>
  <si>
    <t>Davidson</t>
  </si>
  <si>
    <t>Notre Dame</t>
  </si>
  <si>
    <t>Clemson</t>
  </si>
  <si>
    <t>George Mason</t>
  </si>
  <si>
    <t>DePaul</t>
  </si>
  <si>
    <t>Virginia</t>
  </si>
  <si>
    <t>Memphis</t>
  </si>
  <si>
    <t>Boston College</t>
  </si>
  <si>
    <t>Jacksonville</t>
  </si>
  <si>
    <t>The Citadel</t>
  </si>
  <si>
    <t>Return</t>
  </si>
  <si>
    <t>Units</t>
  </si>
  <si>
    <t>UT Arlington</t>
  </si>
  <si>
    <t>Grand Canyon</t>
  </si>
  <si>
    <t>William &amp; Mary</t>
  </si>
  <si>
    <t>Charleston</t>
  </si>
  <si>
    <t>Oakland</t>
  </si>
  <si>
    <t>Milwaukee</t>
  </si>
  <si>
    <t>Detroit Mercy</t>
  </si>
  <si>
    <t>Green Bay</t>
  </si>
  <si>
    <t>Elon</t>
  </si>
  <si>
    <t>Winthrop</t>
  </si>
  <si>
    <t>VCU</t>
  </si>
  <si>
    <t>Penn</t>
  </si>
  <si>
    <t>St Peter's</t>
  </si>
  <si>
    <t>Quinnipiac</t>
  </si>
  <si>
    <t>UCLA</t>
  </si>
  <si>
    <t>Sacred Heart</t>
  </si>
  <si>
    <t>Louisville</t>
  </si>
  <si>
    <t>UMass Lowell</t>
  </si>
  <si>
    <t>Loyola MD</t>
  </si>
  <si>
    <t>Wofford</t>
  </si>
  <si>
    <t>Miami OH</t>
  </si>
  <si>
    <t>Ohio</t>
  </si>
  <si>
    <t>Massachusetts</t>
  </si>
  <si>
    <t>Northeastern</t>
  </si>
  <si>
    <t>Gardner Webb</t>
  </si>
  <si>
    <t>Virginia Tech</t>
  </si>
  <si>
    <t>Illinois Chicago</t>
  </si>
  <si>
    <t>UTSA</t>
  </si>
  <si>
    <t>SMU</t>
  </si>
  <si>
    <t>New Hampshire</t>
  </si>
  <si>
    <t>Indiana</t>
  </si>
  <si>
    <t>NJIT</t>
  </si>
  <si>
    <t>LSU</t>
  </si>
  <si>
    <t>St Joseph's</t>
  </si>
  <si>
    <t>Florida Atlantic</t>
  </si>
  <si>
    <t>99-99.9%</t>
  </si>
  <si>
    <t>CI LEVEL</t>
  </si>
  <si>
    <t>RECORD</t>
  </si>
  <si>
    <t>SUCCESS RATE</t>
  </si>
  <si>
    <t>Confidence %</t>
  </si>
  <si>
    <t>UNITS</t>
  </si>
  <si>
    <t>RETURN</t>
  </si>
  <si>
    <t>TOTAL</t>
  </si>
  <si>
    <t>UNLV</t>
  </si>
  <si>
    <t>Buffalo</t>
  </si>
  <si>
    <t>Akron</t>
  </si>
  <si>
    <t>Alabama A&amp;M</t>
  </si>
  <si>
    <t>Southern</t>
  </si>
  <si>
    <t>UTEP</t>
  </si>
  <si>
    <t>Louisiana Tech</t>
  </si>
  <si>
    <t>99%-99.9%</t>
  </si>
  <si>
    <t>Delaware State</t>
  </si>
  <si>
    <t>Coppin State</t>
  </si>
  <si>
    <t>Belmont</t>
  </si>
  <si>
    <t>Saint Peter's</t>
  </si>
  <si>
    <t>Penn State</t>
  </si>
  <si>
    <t>Michigan State</t>
  </si>
  <si>
    <t>Montana State</t>
  </si>
  <si>
    <t>San Jose State</t>
  </si>
  <si>
    <t>Youngstown State</t>
  </si>
  <si>
    <t>Pitt</t>
  </si>
  <si>
    <t>IU Indy</t>
  </si>
  <si>
    <t>Ohio State</t>
  </si>
  <si>
    <t>Idaho</t>
  </si>
  <si>
    <t>Washington State</t>
  </si>
  <si>
    <t>Kent State</t>
  </si>
  <si>
    <t>Arkansas State</t>
  </si>
  <si>
    <t>Ball State</t>
  </si>
  <si>
    <t>Indiana State</t>
  </si>
  <si>
    <t>Southern Miss</t>
  </si>
  <si>
    <t>8-2</t>
  </si>
  <si>
    <t>17-13</t>
  </si>
  <si>
    <t>21-21</t>
  </si>
  <si>
    <t>9-12</t>
  </si>
  <si>
    <t>11-5</t>
  </si>
  <si>
    <t>12-28</t>
  </si>
  <si>
    <t>17-19</t>
  </si>
  <si>
    <t>8-5</t>
  </si>
  <si>
    <t>9-11</t>
  </si>
  <si>
    <t>16-6</t>
  </si>
  <si>
    <t>10-11</t>
  </si>
  <si>
    <t>15-5</t>
  </si>
  <si>
    <t>7-14</t>
  </si>
  <si>
    <t>Jackson State</t>
  </si>
  <si>
    <t>Wright State</t>
  </si>
  <si>
    <t>Robert Morris</t>
  </si>
  <si>
    <t>Drake</t>
  </si>
  <si>
    <t>Alcorn State</t>
  </si>
  <si>
    <t>Kansas State</t>
  </si>
  <si>
    <t>Weber State</t>
  </si>
  <si>
    <t>UMBC</t>
  </si>
  <si>
    <t>Saint Joseph's</t>
  </si>
  <si>
    <t>Montana</t>
  </si>
  <si>
    <t>Boise State</t>
  </si>
  <si>
    <t>Albany (NY)</t>
  </si>
  <si>
    <t>Long Beach State</t>
  </si>
  <si>
    <t>Fresno State</t>
  </si>
  <si>
    <t>New Orleans</t>
  </si>
  <si>
    <t>Lindenwood</t>
  </si>
  <si>
    <t>Saint Louis</t>
  </si>
  <si>
    <t>Cleveland State</t>
  </si>
  <si>
    <t>Lamar</t>
  </si>
  <si>
    <t>New Haven</t>
  </si>
  <si>
    <t>Georgia State</t>
  </si>
  <si>
    <t>Little Rock</t>
  </si>
  <si>
    <t>Saint Marys</t>
  </si>
  <si>
    <t>Morehead State</t>
  </si>
  <si>
    <t>North Carolina</t>
  </si>
  <si>
    <t>Florida A&amp;M</t>
  </si>
  <si>
    <t>UC Riverside</t>
  </si>
  <si>
    <t>Alabama State</t>
  </si>
  <si>
    <t>Murray State</t>
  </si>
  <si>
    <t>Florida State</t>
  </si>
  <si>
    <t>2025 TOTAL RECORD</t>
  </si>
  <si>
    <t>Success Rate %</t>
  </si>
  <si>
    <t>** the above is this years results tracked, to the right is a side by side comparison to last years Feb-March results</t>
  </si>
  <si>
    <t>** the kenpom data gets more accurate to how good a team is the further along the season,</t>
  </si>
  <si>
    <t>***However, the 100% Confidence Interval is our best success and has spit out more games early in the szn because of matchups,</t>
  </si>
  <si>
    <t>opposed to last years had fewer towards the end of the szn</t>
  </si>
  <si>
    <t>2025-2026 SZN</t>
  </si>
  <si>
    <t>2025 (Feb-March) SZN</t>
  </si>
  <si>
    <t>** could be a fade, tbd</t>
  </si>
  <si>
    <t xml:space="preserve">fade </t>
  </si>
  <si>
    <t>Colorado State</t>
  </si>
  <si>
    <t>Utah State</t>
  </si>
  <si>
    <t>Nicholls</t>
  </si>
  <si>
    <t>Howard</t>
  </si>
  <si>
    <t>McNeese</t>
  </si>
  <si>
    <t>Norfolk State</t>
  </si>
  <si>
    <t>UC Irvine</t>
  </si>
  <si>
    <t>Bradley</t>
  </si>
  <si>
    <t>Morgan State</t>
  </si>
  <si>
    <t>Bowling Green</t>
  </si>
  <si>
    <t>Missouri State</t>
  </si>
  <si>
    <t>Iowa State</t>
  </si>
  <si>
    <t>Arizona State</t>
  </si>
  <si>
    <t>Oregon State</t>
  </si>
  <si>
    <t>2-2</t>
  </si>
  <si>
    <t>San Diego State</t>
  </si>
  <si>
    <t>UC Davis</t>
  </si>
  <si>
    <t>Wichita State</t>
  </si>
  <si>
    <t>4-3</t>
  </si>
  <si>
    <t>2-4</t>
  </si>
  <si>
    <t>2-3</t>
  </si>
  <si>
    <t>4-5</t>
  </si>
  <si>
    <t>Success Rate</t>
  </si>
  <si>
    <t>25-27</t>
  </si>
  <si>
    <t>28-41</t>
  </si>
  <si>
    <t>21-27</t>
  </si>
  <si>
    <t>6-10</t>
  </si>
  <si>
    <t>7-3</t>
  </si>
  <si>
    <t>3-4</t>
  </si>
  <si>
    <t>LAST 10 DAYS</t>
  </si>
  <si>
    <t>16-25</t>
  </si>
  <si>
    <t>17-29</t>
  </si>
  <si>
    <t>14-20</t>
  </si>
  <si>
    <t>3-1</t>
  </si>
  <si>
    <t>3-9</t>
  </si>
  <si>
    <t>1-4</t>
  </si>
  <si>
    <t>1-2</t>
  </si>
  <si>
    <t>3-2</t>
  </si>
  <si>
    <t>5-1</t>
  </si>
  <si>
    <t>New Mexico State</t>
  </si>
  <si>
    <t>Mississippi State</t>
  </si>
  <si>
    <t>Kennesaw State</t>
  </si>
  <si>
    <t>North Carolina State</t>
  </si>
  <si>
    <t>0-3</t>
  </si>
  <si>
    <t>Liberty</t>
  </si>
  <si>
    <t>5-8</t>
  </si>
  <si>
    <t>6-3</t>
  </si>
  <si>
    <t>8-11</t>
  </si>
  <si>
    <t>11-4</t>
  </si>
  <si>
    <t>**52.38% + is beating vegas</t>
  </si>
  <si>
    <t>37-29</t>
  </si>
  <si>
    <t>9-2</t>
  </si>
  <si>
    <t>60-66</t>
  </si>
  <si>
    <t>20-13</t>
  </si>
  <si>
    <t>45-46</t>
  </si>
  <si>
    <t>15-11</t>
  </si>
  <si>
    <t>5-12</t>
  </si>
  <si>
    <t>1-3</t>
  </si>
  <si>
    <t>14-13</t>
  </si>
  <si>
    <t>5-6</t>
  </si>
  <si>
    <t>19-11</t>
  </si>
  <si>
    <t>12-11</t>
  </si>
  <si>
    <t>6-4</t>
  </si>
  <si>
    <t>10-5</t>
  </si>
  <si>
    <t>4-1</t>
  </si>
  <si>
    <t>9-13</t>
  </si>
  <si>
    <t>2-0</t>
  </si>
  <si>
    <t>7-9</t>
  </si>
  <si>
    <t>242-238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</si>
</sst>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\ &quot;Units&quot;"/>
    <numFmt numFmtId="166" formatCode="0.00&quot;x&quot;"/>
  </numFmts>
  <fonts count="3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 tint="-0.34998626667073579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rgb="FFA6A6A6"/>
      <name val="Aptos Narrow"/>
      <family val="2"/>
    </font>
    <font>
      <i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2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9" fontId="22" fillId="0" borderId="0" applyFont="0" applyFill="0" applyBorder="0" applyAlignment="0" applyProtection="0"/>
    <xf numFmtId="0" fontId="19" fillId="0" borderId="0"/>
    <xf numFmtId="0" fontId="18" fillId="0" borderId="0"/>
    <xf numFmtId="0" fontId="17" fillId="0" borderId="0"/>
    <xf numFmtId="0" fontId="15" fillId="0" borderId="0"/>
    <xf numFmtId="0" fontId="12" fillId="0" borderId="0"/>
    <xf numFmtId="0" fontId="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20" fillId="0" borderId="1" xfId="0" applyFont="1" applyBorder="1" applyAlignment="1">
      <alignment horizontal="center" vertical="top"/>
    </xf>
    <xf numFmtId="0" fontId="21" fillId="0" borderId="0" xfId="0" applyFont="1"/>
    <xf numFmtId="0" fontId="25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9" fontId="24" fillId="0" borderId="1" xfId="1" applyFont="1" applyBorder="1" applyAlignment="1">
      <alignment horizontal="center" vertical="center"/>
    </xf>
    <xf numFmtId="0" fontId="20" fillId="4" borderId="0" xfId="0" applyFont="1" applyFill="1" applyAlignment="1">
      <alignment horizontal="center" vertical="top"/>
    </xf>
    <xf numFmtId="9" fontId="24" fillId="4" borderId="8" xfId="1" applyFont="1" applyFill="1" applyBorder="1" applyAlignment="1">
      <alignment horizontal="center" vertical="center"/>
    </xf>
    <xf numFmtId="9" fontId="24" fillId="4" borderId="2" xfId="1" applyFont="1" applyFill="1" applyBorder="1" applyAlignment="1">
      <alignment horizontal="center" vertical="center"/>
    </xf>
    <xf numFmtId="9" fontId="24" fillId="4" borderId="9" xfId="1" applyFont="1" applyFill="1" applyBorder="1" applyAlignment="1">
      <alignment horizontal="center" vertical="center"/>
    </xf>
    <xf numFmtId="9" fontId="24" fillId="4" borderId="0" xfId="1" applyFont="1" applyFill="1" applyBorder="1" applyAlignment="1">
      <alignment horizontal="center" vertical="center"/>
    </xf>
    <xf numFmtId="0" fontId="0" fillId="4" borderId="0" xfId="0" applyFill="1"/>
    <xf numFmtId="9" fontId="24" fillId="0" borderId="3" xfId="1" applyFont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0" fillId="0" borderId="9" xfId="0" applyBorder="1"/>
    <xf numFmtId="9" fontId="24" fillId="0" borderId="1" xfId="1" applyFont="1" applyFill="1" applyBorder="1" applyAlignment="1">
      <alignment horizontal="center" vertical="center"/>
    </xf>
    <xf numFmtId="10" fontId="24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14" fontId="20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8" fillId="0" borderId="1" xfId="0" applyFont="1" applyBorder="1"/>
    <xf numFmtId="166" fontId="29" fillId="0" borderId="1" xfId="0" applyNumberFormat="1" applyFont="1" applyBorder="1" applyAlignment="1">
      <alignment horizontal="right"/>
    </xf>
    <xf numFmtId="0" fontId="28" fillId="2" borderId="1" xfId="0" applyFont="1" applyFill="1" applyBorder="1"/>
    <xf numFmtId="165" fontId="29" fillId="2" borderId="1" xfId="0" applyNumberFormat="1" applyFont="1" applyFill="1" applyBorder="1"/>
    <xf numFmtId="9" fontId="30" fillId="5" borderId="1" xfId="1" applyFont="1" applyFill="1" applyBorder="1" applyAlignment="1">
      <alignment horizontal="center" vertical="center"/>
    </xf>
    <xf numFmtId="9" fontId="23" fillId="2" borderId="4" xfId="0" applyNumberFormat="1" applyFont="1" applyFill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66" fontId="31" fillId="6" borderId="0" xfId="0" applyNumberFormat="1" applyFont="1" applyFill="1"/>
    <xf numFmtId="0" fontId="20" fillId="7" borderId="1" xfId="0" applyFont="1" applyFill="1" applyBorder="1" applyAlignment="1">
      <alignment horizontal="center" vertical="top"/>
    </xf>
    <xf numFmtId="0" fontId="0" fillId="7" borderId="0" xfId="0" applyFill="1"/>
    <xf numFmtId="0" fontId="21" fillId="7" borderId="0" xfId="0" applyFont="1" applyFill="1"/>
    <xf numFmtId="0" fontId="0" fillId="0" borderId="0" xfId="0" applyNumberFormat="1" applyAlignment="1">
      <alignment horizontal="center" vertical="center"/>
    </xf>
    <xf numFmtId="0" fontId="19" fillId="0" borderId="0" xfId="2"/>
    <xf numFmtId="164" fontId="19" fillId="0" borderId="0" xfId="2" applyNumberFormat="1"/>
    <xf numFmtId="0" fontId="23" fillId="0" borderId="3" xfId="0" applyFont="1" applyFill="1" applyBorder="1" applyAlignment="1">
      <alignment horizontal="center" vertical="center"/>
    </xf>
    <xf numFmtId="0" fontId="18" fillId="0" borderId="0" xfId="3"/>
    <xf numFmtId="0" fontId="18" fillId="0" borderId="0" xfId="3"/>
    <xf numFmtId="164" fontId="18" fillId="0" borderId="0" xfId="3" applyNumberFormat="1"/>
    <xf numFmtId="0" fontId="23" fillId="6" borderId="3" xfId="0" applyFont="1" applyFill="1" applyBorder="1" applyAlignment="1">
      <alignment horizontal="center" vertical="center"/>
    </xf>
    <xf numFmtId="0" fontId="18" fillId="7" borderId="0" xfId="3" applyFill="1"/>
    <xf numFmtId="0" fontId="27" fillId="7" borderId="3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top"/>
    </xf>
    <xf numFmtId="9" fontId="24" fillId="7" borderId="8" xfId="1" applyFont="1" applyFill="1" applyBorder="1" applyAlignment="1">
      <alignment horizontal="center" vertical="center"/>
    </xf>
    <xf numFmtId="9" fontId="24" fillId="7" borderId="2" xfId="1" applyFont="1" applyFill="1" applyBorder="1" applyAlignment="1">
      <alignment horizontal="center" vertical="center"/>
    </xf>
    <xf numFmtId="9" fontId="24" fillId="7" borderId="9" xfId="1" applyFont="1" applyFill="1" applyBorder="1" applyAlignment="1">
      <alignment horizontal="center" vertical="center"/>
    </xf>
    <xf numFmtId="9" fontId="24" fillId="7" borderId="0" xfId="1" applyFont="1" applyFill="1" applyBorder="1" applyAlignment="1">
      <alignment horizontal="center" vertical="center"/>
    </xf>
    <xf numFmtId="0" fontId="19" fillId="7" borderId="0" xfId="2" applyFill="1"/>
    <xf numFmtId="166" fontId="29" fillId="0" borderId="13" xfId="0" applyNumberFormat="1" applyFont="1" applyBorder="1" applyAlignment="1">
      <alignment horizontal="right"/>
    </xf>
    <xf numFmtId="166" fontId="29" fillId="7" borderId="14" xfId="0" applyNumberFormat="1" applyFont="1" applyFill="1" applyBorder="1" applyAlignment="1">
      <alignment horizontal="right"/>
    </xf>
    <xf numFmtId="166" fontId="31" fillId="6" borderId="1" xfId="0" applyNumberFormat="1" applyFont="1" applyFill="1" applyBorder="1"/>
    <xf numFmtId="0" fontId="32" fillId="7" borderId="4" xfId="0" applyFont="1" applyFill="1" applyBorder="1" applyAlignment="1">
      <alignment horizontal="center" vertical="top"/>
    </xf>
    <xf numFmtId="0" fontId="32" fillId="7" borderId="5" xfId="0" applyFont="1" applyFill="1" applyBorder="1" applyAlignment="1">
      <alignment horizontal="center" vertical="top"/>
    </xf>
    <xf numFmtId="14" fontId="32" fillId="7" borderId="5" xfId="0" applyNumberFormat="1" applyFont="1" applyFill="1" applyBorder="1" applyAlignment="1">
      <alignment horizontal="center" vertical="top"/>
    </xf>
    <xf numFmtId="0" fontId="32" fillId="7" borderId="6" xfId="0" applyFont="1" applyFill="1" applyBorder="1" applyAlignment="1">
      <alignment horizontal="center" vertical="top"/>
    </xf>
    <xf numFmtId="10" fontId="32" fillId="7" borderId="5" xfId="1" applyNumberFormat="1" applyFont="1" applyFill="1" applyBorder="1" applyAlignment="1">
      <alignment horizontal="center" vertical="top"/>
    </xf>
    <xf numFmtId="10" fontId="0" fillId="0" borderId="0" xfId="1" applyNumberFormat="1" applyFont="1"/>
    <xf numFmtId="10" fontId="18" fillId="0" borderId="0" xfId="1" applyNumberFormat="1" applyFont="1"/>
    <xf numFmtId="10" fontId="19" fillId="0" borderId="0" xfId="1" applyNumberFormat="1" applyFont="1"/>
    <xf numFmtId="9" fontId="33" fillId="0" borderId="1" xfId="1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top"/>
    </xf>
    <xf numFmtId="0" fontId="0" fillId="8" borderId="0" xfId="0" applyFill="1"/>
    <xf numFmtId="0" fontId="18" fillId="8" borderId="0" xfId="3" applyFill="1"/>
    <xf numFmtId="166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7" fillId="0" borderId="0" xfId="4"/>
    <xf numFmtId="164" fontId="17" fillId="0" borderId="0" xfId="4" applyNumberFormat="1"/>
    <xf numFmtId="0" fontId="16" fillId="0" borderId="0" xfId="4" applyFont="1"/>
    <xf numFmtId="0" fontId="32" fillId="0" borderId="1" xfId="0" applyFont="1" applyBorder="1" applyAlignment="1">
      <alignment horizontal="center" vertical="top"/>
    </xf>
    <xf numFmtId="0" fontId="32" fillId="7" borderId="1" xfId="0" applyFont="1" applyFill="1" applyBorder="1" applyAlignment="1">
      <alignment horizontal="center" vertical="top"/>
    </xf>
    <xf numFmtId="10" fontId="32" fillId="0" borderId="1" xfId="1" applyNumberFormat="1" applyFont="1" applyBorder="1" applyAlignment="1">
      <alignment horizontal="center" vertical="top"/>
    </xf>
    <xf numFmtId="14" fontId="32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0" fontId="15" fillId="0" borderId="0" xfId="4" applyFont="1"/>
    <xf numFmtId="0" fontId="15" fillId="0" borderId="0" xfId="5"/>
    <xf numFmtId="164" fontId="15" fillId="0" borderId="0" xfId="5" applyNumberFormat="1"/>
    <xf numFmtId="0" fontId="15" fillId="0" borderId="0" xfId="4" applyFont="1" applyFill="1"/>
    <xf numFmtId="0" fontId="15" fillId="0" borderId="0" xfId="5"/>
    <xf numFmtId="164" fontId="15" fillId="0" borderId="0" xfId="5" applyNumberFormat="1"/>
    <xf numFmtId="10" fontId="15" fillId="0" borderId="0" xfId="1" applyNumberFormat="1" applyFont="1"/>
    <xf numFmtId="0" fontId="14" fillId="0" borderId="0" xfId="4" applyFont="1"/>
    <xf numFmtId="0" fontId="14" fillId="0" borderId="0" xfId="5" applyFont="1"/>
    <xf numFmtId="10" fontId="17" fillId="0" borderId="0" xfId="1" applyNumberFormat="1" applyFont="1"/>
    <xf numFmtId="0" fontId="23" fillId="3" borderId="1" xfId="0" applyFont="1" applyFill="1" applyBorder="1" applyAlignment="1">
      <alignment horizontal="center" vertical="center"/>
    </xf>
    <xf numFmtId="0" fontId="13" fillId="0" borderId="0" xfId="4" applyFont="1"/>
    <xf numFmtId="0" fontId="12" fillId="0" borderId="0" xfId="4" applyFont="1"/>
    <xf numFmtId="0" fontId="12" fillId="0" borderId="0" xfId="6"/>
    <xf numFmtId="164" fontId="12" fillId="0" borderId="0" xfId="6" applyNumberFormat="1"/>
    <xf numFmtId="10" fontId="12" fillId="0" borderId="0" xfId="1" applyNumberFormat="1" applyFont="1"/>
    <xf numFmtId="0" fontId="11" fillId="0" borderId="0" xfId="4" applyFont="1"/>
    <xf numFmtId="0" fontId="10" fillId="0" borderId="0" xfId="4" applyFont="1"/>
    <xf numFmtId="0" fontId="10" fillId="0" borderId="0" xfId="4" applyFont="1" applyFill="1"/>
    <xf numFmtId="0" fontId="9" fillId="0" borderId="0" xfId="7"/>
    <xf numFmtId="164" fontId="9" fillId="0" borderId="0" xfId="7" applyNumberFormat="1"/>
    <xf numFmtId="10" fontId="9" fillId="0" borderId="0" xfId="1" applyNumberFormat="1" applyFont="1"/>
    <xf numFmtId="0" fontId="0" fillId="5" borderId="0" xfId="0" applyFill="1"/>
    <xf numFmtId="0" fontId="29" fillId="5" borderId="1" xfId="0" applyFont="1" applyFill="1" applyBorder="1"/>
    <xf numFmtId="0" fontId="8" fillId="0" borderId="0" xfId="4" applyFont="1"/>
    <xf numFmtId="0" fontId="8" fillId="0" borderId="0" xfId="4" applyFont="1" applyFill="1"/>
    <xf numFmtId="0" fontId="8" fillId="0" borderId="0" xfId="7" applyFont="1"/>
    <xf numFmtId="0" fontId="7" fillId="0" borderId="0" xfId="4" applyFont="1"/>
    <xf numFmtId="0" fontId="7" fillId="0" borderId="0" xfId="8"/>
    <xf numFmtId="164" fontId="7" fillId="0" borderId="0" xfId="8" applyNumberFormat="1"/>
    <xf numFmtId="0" fontId="23" fillId="6" borderId="1" xfId="0" applyFont="1" applyFill="1" applyBorder="1" applyAlignment="1">
      <alignment horizontal="center" vertical="center"/>
    </xf>
    <xf numFmtId="0" fontId="6" fillId="0" borderId="0" xfId="4" applyFont="1"/>
    <xf numFmtId="0" fontId="6" fillId="0" borderId="0" xfId="9"/>
    <xf numFmtId="0" fontId="6" fillId="0" borderId="0" xfId="9"/>
    <xf numFmtId="164" fontId="6" fillId="0" borderId="0" xfId="9" applyNumberFormat="1"/>
    <xf numFmtId="0" fontId="6" fillId="0" borderId="0" xfId="4" applyFont="1" applyFill="1"/>
    <xf numFmtId="0" fontId="23" fillId="0" borderId="1" xfId="0" applyFont="1" applyFill="1" applyBorder="1" applyAlignment="1">
      <alignment horizontal="center" vertical="center"/>
    </xf>
    <xf numFmtId="0" fontId="6" fillId="0" borderId="0" xfId="9"/>
    <xf numFmtId="164" fontId="6" fillId="0" borderId="0" xfId="9" applyNumberFormat="1"/>
    <xf numFmtId="0" fontId="6" fillId="0" borderId="0" xfId="9"/>
    <xf numFmtId="164" fontId="6" fillId="0" borderId="0" xfId="9" applyNumberFormat="1"/>
    <xf numFmtId="0" fontId="5" fillId="0" borderId="0" xfId="4" applyFont="1"/>
    <xf numFmtId="0" fontId="5" fillId="0" borderId="0" xfId="10"/>
    <xf numFmtId="164" fontId="5" fillId="0" borderId="0" xfId="10" applyNumberFormat="1"/>
    <xf numFmtId="49" fontId="24" fillId="0" borderId="1" xfId="1" applyNumberFormat="1" applyFont="1" applyFill="1" applyBorder="1" applyAlignment="1">
      <alignment horizontal="center" vertical="center"/>
    </xf>
    <xf numFmtId="49" fontId="23" fillId="3" borderId="3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49" fontId="23" fillId="6" borderId="19" xfId="0" applyNumberFormat="1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9" fontId="23" fillId="2" borderId="20" xfId="0" applyNumberFormat="1" applyFont="1" applyFill="1" applyBorder="1" applyAlignment="1">
      <alignment horizontal="center" vertical="center"/>
    </xf>
    <xf numFmtId="165" fontId="29" fillId="2" borderId="3" xfId="0" applyNumberFormat="1" applyFont="1" applyFill="1" applyBorder="1"/>
    <xf numFmtId="166" fontId="29" fillId="0" borderId="3" xfId="0" applyNumberFormat="1" applyFont="1" applyBorder="1" applyAlignment="1">
      <alignment horizontal="right"/>
    </xf>
    <xf numFmtId="0" fontId="27" fillId="7" borderId="15" xfId="0" applyFont="1" applyFill="1" applyBorder="1" applyAlignment="1">
      <alignment horizontal="center" vertical="center"/>
    </xf>
    <xf numFmtId="0" fontId="27" fillId="7" borderId="21" xfId="0" applyFont="1" applyFill="1" applyBorder="1" applyAlignment="1">
      <alignment horizontal="center" vertical="center"/>
    </xf>
    <xf numFmtId="0" fontId="27" fillId="7" borderId="5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4" fillId="0" borderId="0" xfId="4" applyFont="1"/>
    <xf numFmtId="0" fontId="4" fillId="0" borderId="0" xfId="11"/>
    <xf numFmtId="164" fontId="4" fillId="0" borderId="0" xfId="11" applyNumberFormat="1"/>
    <xf numFmtId="10" fontId="4" fillId="0" borderId="0" xfId="1" applyNumberFormat="1" applyFont="1"/>
    <xf numFmtId="10" fontId="6" fillId="0" borderId="0" xfId="1" applyNumberFormat="1" applyFont="1"/>
    <xf numFmtId="0" fontId="3" fillId="0" borderId="0" xfId="4" applyFont="1"/>
    <xf numFmtId="0" fontId="3" fillId="0" borderId="0" xfId="12"/>
    <xf numFmtId="164" fontId="3" fillId="0" borderId="0" xfId="12" applyNumberFormat="1"/>
    <xf numFmtId="0" fontId="2" fillId="0" borderId="0" xfId="4" applyFont="1"/>
    <xf numFmtId="164" fontId="2" fillId="0" borderId="0" xfId="13" applyNumberFormat="1"/>
    <xf numFmtId="0" fontId="2" fillId="0" borderId="0" xfId="13"/>
    <xf numFmtId="0" fontId="1" fillId="0" borderId="0" xfId="4" applyFont="1"/>
    <xf numFmtId="0" fontId="1" fillId="0" borderId="0" xfId="14"/>
    <xf numFmtId="0" fontId="1" fillId="0" borderId="0" xfId="14"/>
    <xf numFmtId="164" fontId="1" fillId="0" borderId="0" xfId="14" applyNumberFormat="1"/>
    <xf numFmtId="10" fontId="1" fillId="0" borderId="0" xfId="14" applyNumberFormat="1"/>
    <xf numFmtId="0" fontId="34" fillId="0" borderId="0" xfId="0" applyFont="1"/>
    <xf numFmtId="166" fontId="31" fillId="9" borderId="1" xfId="0" applyNumberFormat="1" applyFont="1" applyFill="1" applyBorder="1"/>
    <xf numFmtId="0" fontId="1" fillId="0" borderId="0" xfId="4" applyFont="1" applyFill="1"/>
    <xf numFmtId="10" fontId="0" fillId="7" borderId="0" xfId="1" applyNumberFormat="1" applyFont="1" applyFill="1"/>
    <xf numFmtId="0" fontId="1" fillId="0" borderId="0" xfId="14"/>
    <xf numFmtId="0" fontId="1" fillId="0" borderId="0" xfId="14"/>
    <xf numFmtId="164" fontId="1" fillId="0" borderId="0" xfId="14" applyNumberFormat="1"/>
    <xf numFmtId="10" fontId="1" fillId="0" borderId="0" xfId="1" applyNumberFormat="1" applyFont="1"/>
    <xf numFmtId="10" fontId="0" fillId="0" borderId="0" xfId="0" applyNumberFormat="1"/>
    <xf numFmtId="0" fontId="20" fillId="7" borderId="15" xfId="0" applyFont="1" applyFill="1" applyBorder="1" applyAlignment="1">
      <alignment horizontal="center" vertical="top"/>
    </xf>
    <xf numFmtId="0" fontId="20" fillId="7" borderId="16" xfId="0" applyFont="1" applyFill="1" applyBorder="1" applyAlignment="1">
      <alignment horizontal="center" vertical="top"/>
    </xf>
    <xf numFmtId="0" fontId="20" fillId="7" borderId="17" xfId="0" applyFont="1" applyFill="1" applyBorder="1" applyAlignment="1">
      <alignment horizontal="center" vertical="top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</cellXfs>
  <cellStyles count="15">
    <cellStyle name="Normal" xfId="0" builtinId="0"/>
    <cellStyle name="Normal 10" xfId="10" xr:uid="{055DFC07-AC52-4F0A-B7E8-0EBDA0D61000}"/>
    <cellStyle name="Normal 11" xfId="11" xr:uid="{3D39C5D4-6405-4D6C-BC15-38F36103107A}"/>
    <cellStyle name="Normal 12" xfId="12" xr:uid="{529F8751-D181-418B-A34A-E7ED59A95AAC}"/>
    <cellStyle name="Normal 13" xfId="13" xr:uid="{035FBD8C-D477-42E3-9BD5-6C0C5C2FE7AE}"/>
    <cellStyle name="Normal 14" xfId="14" xr:uid="{AE30AE74-C169-4277-A12E-8FA0050C7A16}"/>
    <cellStyle name="Normal 2" xfId="2" xr:uid="{67A0864B-30A8-4EDE-A3F1-0A5AFC84B69F}"/>
    <cellStyle name="Normal 3" xfId="3" xr:uid="{9D98BF78-A051-469B-BE1C-879568400582}"/>
    <cellStyle name="Normal 4" xfId="4" xr:uid="{D92F7655-27F3-4954-9802-629DC4AE6061}"/>
    <cellStyle name="Normal 5" xfId="5" xr:uid="{6927FDA5-5CDB-4EF3-B1FE-A86F5D0206E2}"/>
    <cellStyle name="Normal 6" xfId="6" xr:uid="{5C93EA6A-0F1B-41C1-9B16-79827BBB4C93}"/>
    <cellStyle name="Normal 7" xfId="7" xr:uid="{E8964B0E-1530-48D0-9507-894F4BFC21F8}"/>
    <cellStyle name="Normal 8" xfId="8" xr:uid="{E4FDE206-5914-4C8C-A262-275D814AEF3C}"/>
    <cellStyle name="Normal 9" xfId="9" xr:uid="{77E48896-3FF9-4AF4-8336-90BC149B272D}"/>
    <cellStyle name="Percent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strike val="0"/>
      </font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strike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0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>
          <fgColor rgb="FF009242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ont>
        <strike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9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984D-124D-43D5-9197-8FAAEFE98E15}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4129-7866-426D-B839-E783825B3513}">
  <sheetPr codeName="Sheet1"/>
  <dimension ref="A1:O126"/>
  <sheetViews>
    <sheetView zoomScaleNormal="100" workbookViewId="0">
      <selection activeCell="D18" sqref="D18"/>
    </sheetView>
  </sheetViews>
  <sheetFormatPr defaultRowHeight="15.75" x14ac:dyDescent="0.25"/>
  <cols>
    <col min="1" max="1" width="13.875" bestFit="1" customWidth="1"/>
    <col min="2" max="2" width="13.25" bestFit="1" customWidth="1"/>
    <col min="4" max="4" width="9.5" style="64" bestFit="1" customWidth="1"/>
    <col min="5" max="5" width="10.125" style="59" bestFit="1" customWidth="1"/>
    <col min="6" max="6" width="6" bestFit="1" customWidth="1"/>
    <col min="7" max="7" width="12" bestFit="1" customWidth="1"/>
    <col min="8" max="8" width="13.25" bestFit="1" customWidth="1"/>
    <col min="9" max="9" width="8.875" style="33" customWidth="1"/>
    <col min="10" max="10" width="12.5" bestFit="1" customWidth="1"/>
    <col min="11" max="11" width="8.375" bestFit="1" customWidth="1"/>
    <col min="12" max="12" width="13.625" bestFit="1" customWidth="1"/>
    <col min="13" max="13" width="12.125" style="99" bestFit="1" customWidth="1"/>
  </cols>
  <sheetData>
    <row r="1" spans="1:15" ht="16.5" thickBot="1" x14ac:dyDescent="0.3">
      <c r="A1" s="54" t="s">
        <v>0</v>
      </c>
      <c r="B1" s="55" t="s">
        <v>1</v>
      </c>
      <c r="C1" s="55" t="s">
        <v>2</v>
      </c>
      <c r="D1" s="63" t="s">
        <v>3</v>
      </c>
      <c r="E1" s="58" t="s">
        <v>4</v>
      </c>
      <c r="F1" s="55" t="s">
        <v>12</v>
      </c>
      <c r="G1" s="56" t="s">
        <v>19</v>
      </c>
      <c r="H1" s="57" t="s">
        <v>342</v>
      </c>
      <c r="I1" s="45"/>
      <c r="J1" s="161" t="s">
        <v>347</v>
      </c>
      <c r="K1" s="162"/>
      <c r="L1" s="162"/>
      <c r="M1" s="163"/>
    </row>
    <row r="2" spans="1:15" ht="24.75" thickBot="1" x14ac:dyDescent="0.3">
      <c r="A2" s="156"/>
      <c r="B2" s="156"/>
      <c r="C2" s="156"/>
      <c r="D2" s="156"/>
      <c r="E2" s="159"/>
      <c r="F2" s="147"/>
      <c r="G2" s="158"/>
      <c r="H2" s="15" t="e" cm="1">
        <f t="array" ref="H2">_xlfn.IFS(E2 = 1,$L$3,E2&gt;=0.99,$L$4, E2&gt;=0.95,$L$5, E2&gt;= 0.93, $L$6, E2&gt;= 0.9,$L$7, E2&gt;= 0.85,$L$8, E2&gt;= 0.8,$L$9, E2&gt;= 0.75,$L$10, E2 &gt;= 0.7, $L$11, E2&gt;= 0.65, $L$12, E2&gt;= 0.6, $L$13, E2&gt;= 0.55,$L$14, E2 &gt;= 0.5,$L$15)</f>
        <v>#N/A</v>
      </c>
      <c r="I2" s="46"/>
      <c r="J2" s="29" t="s">
        <v>264</v>
      </c>
      <c r="K2" s="29" t="s">
        <v>265</v>
      </c>
      <c r="L2" s="29" t="s">
        <v>266</v>
      </c>
      <c r="M2" s="44" t="s">
        <v>380</v>
      </c>
      <c r="N2" t="s">
        <v>268</v>
      </c>
      <c r="O2" t="s">
        <v>269</v>
      </c>
    </row>
    <row r="3" spans="1:15" ht="24.75" thickBot="1" x14ac:dyDescent="0.3">
      <c r="A3" s="156"/>
      <c r="B3" s="156"/>
      <c r="C3" s="156"/>
      <c r="D3" s="156"/>
      <c r="E3" s="159"/>
      <c r="F3" s="147"/>
      <c r="G3" s="158"/>
      <c r="H3" s="15" t="e" cm="1">
        <f t="array" ref="H3">_xlfn.IFS(E3 = 1,$L$3,E3&gt;=0.99,$L$4, E3&gt;=0.95,$L$5, E3&gt;= 0.93, $L$6, E3&gt;= 0.9,$L$7, E3&gt;= 0.85,$L$8, E3&gt;= 0.8,$L$9, E3&gt;= 0.75,$L$10, E3 &gt;= 0.7, $L$11, E3&gt;= 0.65, $L$12, E3&gt;= 0.6, $L$13, E3&gt;= 0.55,$L$14, E3 &gt;= 0.5,$L$15)</f>
        <v>#N/A</v>
      </c>
      <c r="I3" s="47"/>
      <c r="J3" s="28">
        <v>1</v>
      </c>
      <c r="K3" s="121" t="s">
        <v>401</v>
      </c>
      <c r="L3" s="8">
        <v>0.56060606060606055</v>
      </c>
      <c r="M3" s="107" t="s">
        <v>402</v>
      </c>
      <c r="N3" s="67">
        <v>5</v>
      </c>
      <c r="O3" s="66">
        <v>25.499999999999989</v>
      </c>
    </row>
    <row r="4" spans="1:15" ht="24.75" thickBot="1" x14ac:dyDescent="0.3">
      <c r="A4" s="156"/>
      <c r="B4" s="156"/>
      <c r="C4" s="156"/>
      <c r="D4" s="156"/>
      <c r="E4" s="159"/>
      <c r="F4" s="147"/>
      <c r="G4" s="158"/>
      <c r="H4" s="15" t="e" cm="1">
        <f t="array" ref="H4">_xlfn.IFS(E4 = 1,$L$3,E4&gt;=0.99,$L$4, E4&gt;=0.95,$L$5, E4&gt;= 0.93, $L$6, E4&gt;= 0.9,$L$7, E4&gt;= 0.85,$L$8, E4&gt;= 0.8,$L$9, E4&gt;= 0.75,$L$10, E4 &gt;= 0.7, $L$11, E4&gt;= 0.65, $L$12, E4&gt;= 0.6, $L$13, E4&gt;= 0.55,$L$14, E4 &gt;= 0.5,$L$15)</f>
        <v>#N/A</v>
      </c>
      <c r="I4" s="47"/>
      <c r="J4" s="5" t="s">
        <v>263</v>
      </c>
      <c r="K4" s="122" t="s">
        <v>403</v>
      </c>
      <c r="L4" s="8">
        <v>0.47619047619047616</v>
      </c>
      <c r="M4" s="107" t="s">
        <v>404</v>
      </c>
      <c r="N4" s="67">
        <v>1</v>
      </c>
      <c r="O4" s="66">
        <v>-12.600000000000009</v>
      </c>
    </row>
    <row r="5" spans="1:15" ht="24.75" thickBot="1" x14ac:dyDescent="0.3">
      <c r="A5" s="156"/>
      <c r="B5" s="156"/>
      <c r="C5" s="156"/>
      <c r="D5" s="156"/>
      <c r="E5" s="159"/>
      <c r="F5" s="147"/>
      <c r="G5" s="158"/>
      <c r="H5" s="15" t="e" cm="1">
        <f t="array" ref="H5">_xlfn.IFS(E5 = 1,$L$3,E5&gt;=0.99,$L$4, E5&gt;=0.95,$L$5, E5&gt;= 0.93, $L$6, E5&gt;= 0.9,$L$7, E5&gt;= 0.85,$L$8, E5&gt;= 0.8,$L$9, E5&gt;= 0.75,$L$10, E5 &gt;= 0.7, $L$11, E5&gt;= 0.65, $L$12, E5&gt;= 0.6, $L$13, E5&gt;= 0.55,$L$14, E5 &gt;= 0.5,$L$15)</f>
        <v>#N/A</v>
      </c>
      <c r="I5" s="47"/>
      <c r="J5" s="6" t="s">
        <v>135</v>
      </c>
      <c r="K5" s="16" t="s">
        <v>405</v>
      </c>
      <c r="L5" s="8">
        <v>0.49450549450549453</v>
      </c>
      <c r="M5" s="123" t="s">
        <v>406</v>
      </c>
      <c r="N5" s="67">
        <v>0.5</v>
      </c>
      <c r="O5" s="66">
        <v>-2.8000000000000007</v>
      </c>
    </row>
    <row r="6" spans="1:15" ht="24.75" thickBot="1" x14ac:dyDescent="0.3">
      <c r="A6" s="156"/>
      <c r="B6" s="156"/>
      <c r="C6" s="156"/>
      <c r="D6" s="156"/>
      <c r="E6" s="159"/>
      <c r="F6" s="147"/>
      <c r="G6" s="158"/>
      <c r="H6" s="15" t="e" cm="1">
        <f t="array" ref="H6">_xlfn.IFS(E6 = 1,$L$3,E6&gt;=0.99,$L$4, E6&gt;=0.95,$L$5, E6&gt;= 0.93, $L$6, E6&gt;= 0.9,$L$7, E6&gt;= 0.85,$L$8, E6&gt;= 0.8,$L$9, E6&gt;= 0.75,$L$10, E6 &gt;= 0.7, $L$11, E6&gt;= 0.65, $L$12, E6&gt;= 0.6, $L$13, E6&gt;= 0.55,$L$14, E6 &gt;= 0.5,$L$15)</f>
        <v>#N/A</v>
      </c>
      <c r="I6" s="47"/>
      <c r="J6" s="6" t="s">
        <v>136</v>
      </c>
      <c r="K6" s="87" t="s">
        <v>407</v>
      </c>
      <c r="L6" s="8">
        <v>0.29411764705882354</v>
      </c>
      <c r="M6" s="87" t="s">
        <v>408</v>
      </c>
      <c r="N6" s="67">
        <v>1</v>
      </c>
      <c r="O6" s="66">
        <v>-8.2000000000000011</v>
      </c>
    </row>
    <row r="7" spans="1:15" ht="24.75" thickBot="1" x14ac:dyDescent="0.3">
      <c r="A7" s="156"/>
      <c r="B7" s="156"/>
      <c r="C7" s="156"/>
      <c r="D7" s="156"/>
      <c r="E7" s="159"/>
      <c r="F7" s="147"/>
      <c r="G7" s="158"/>
      <c r="H7" s="15" t="e" cm="1">
        <f t="array" ref="H7">_xlfn.IFS(E7 = 1,$L$3,E7&gt;=0.99,$L$4, E7&gt;=0.95,$L$5, E7&gt;= 0.93, $L$6, E7&gt;= 0.9,$L$7, E7&gt;= 0.85,$L$8, E7&gt;= 0.8,$L$9, E7&gt;= 0.75,$L$10, E7 &gt;= 0.7, $L$11, E7&gt;= 0.65, $L$12, E7&gt;= 0.6, $L$13, E7&gt;= 0.55,$L$14, E7 &gt;= 0.5,$L$15)</f>
        <v>#N/A</v>
      </c>
      <c r="I7" s="47"/>
      <c r="J7" s="6" t="s">
        <v>137</v>
      </c>
      <c r="K7" s="42" t="s">
        <v>409</v>
      </c>
      <c r="L7" s="8">
        <v>0.51851851851851849</v>
      </c>
      <c r="M7" s="107" t="s">
        <v>410</v>
      </c>
      <c r="N7" s="67">
        <v>2.5</v>
      </c>
      <c r="O7" s="66">
        <v>-0.75000000000000178</v>
      </c>
    </row>
    <row r="8" spans="1:15" ht="24.75" thickBot="1" x14ac:dyDescent="0.3">
      <c r="A8" s="156"/>
      <c r="B8" s="156"/>
      <c r="C8" s="156"/>
      <c r="D8" s="156"/>
      <c r="E8" s="159"/>
      <c r="F8" s="147"/>
      <c r="G8" s="158"/>
      <c r="H8" s="15" t="e" cm="1">
        <f t="array" ref="H8">_xlfn.IFS(E8 = 1,$L$3,E8&gt;=0.99,$L$4, E8&gt;=0.95,$L$5, E8&gt;= 0.93, $L$6, E8&gt;= 0.9,$L$7, E8&gt;= 0.85,$L$8, E8&gt;= 0.8,$L$9, E8&gt;= 0.75,$L$10, E8 &gt;= 0.7, $L$11, E8&gt;= 0.65, $L$12, E8&gt;= 0.6, $L$13, E8&gt;= 0.55,$L$14, E8 &gt;= 0.5,$L$15)</f>
        <v>#N/A</v>
      </c>
      <c r="I8" s="47"/>
      <c r="J8" s="6" t="s">
        <v>138</v>
      </c>
      <c r="K8" s="42" t="s">
        <v>411</v>
      </c>
      <c r="L8" s="8">
        <v>0.6333333333333333</v>
      </c>
      <c r="M8" s="107" t="s">
        <v>397</v>
      </c>
      <c r="N8" s="67">
        <v>2.5</v>
      </c>
      <c r="O8" s="66">
        <v>44.75</v>
      </c>
    </row>
    <row r="9" spans="1:15" ht="24.75" thickBot="1" x14ac:dyDescent="0.3">
      <c r="A9" s="156"/>
      <c r="B9" s="156"/>
      <c r="C9" s="156"/>
      <c r="D9" s="156"/>
      <c r="E9" s="159"/>
      <c r="F9" s="147"/>
      <c r="G9" s="158"/>
      <c r="H9" s="15" t="e" cm="1">
        <f t="array" ref="H9">_xlfn.IFS(E9 = 1,$L$3,E9&gt;=0.99,$L$4, E9&gt;=0.95,$L$5, E9&gt;= 0.93, $L$6, E9&gt;= 0.9,$L$7, E9&gt;= 0.85,$L$8, E9&gt;= 0.8,$L$9, E9&gt;= 0.75,$L$10, E9 &gt;= 0.7, $L$11, E9&gt;= 0.65, $L$12, E9&gt;= 0.6, $L$13, E9&gt;= 0.55,$L$14, E9 &gt;= 0.5,$L$15)</f>
        <v>#N/A</v>
      </c>
      <c r="I9" s="47"/>
      <c r="J9" s="6" t="s">
        <v>139</v>
      </c>
      <c r="K9" s="16" t="s">
        <v>412</v>
      </c>
      <c r="L9" s="8">
        <v>0.52173913043478259</v>
      </c>
      <c r="M9" s="107" t="s">
        <v>413</v>
      </c>
      <c r="N9" s="67">
        <v>1</v>
      </c>
      <c r="O9" s="66">
        <v>10.9</v>
      </c>
    </row>
    <row r="10" spans="1:15" ht="24.75" thickBot="1" x14ac:dyDescent="0.3">
      <c r="A10" s="156"/>
      <c r="B10" s="156"/>
      <c r="C10" s="156"/>
      <c r="D10" s="156"/>
      <c r="E10" s="159"/>
      <c r="F10" s="147"/>
      <c r="G10" s="158"/>
      <c r="H10" s="15" t="e" cm="1">
        <f t="array" ref="H10">_xlfn.IFS(E10 = 1,$L$3,E10&gt;=0.99,$L$4, E10&gt;=0.95,$L$5, E10&gt;= 0.93, $L$6, E10&gt;= 0.9,$L$7, E10&gt;= 0.85,$L$8, E10&gt;= 0.8,$L$9, E10&gt;= 0.75,$L$10, E10 &gt;= 0.7, $L$11, E10&gt;= 0.65, $L$12, E10&gt;= 0.6, $L$13, E10&gt;= 0.55,$L$14, E10 &gt;= 0.5,$L$15)</f>
        <v>#N/A</v>
      </c>
      <c r="I10" s="47"/>
      <c r="J10" s="6" t="s">
        <v>140</v>
      </c>
      <c r="K10" s="16" t="s">
        <v>398</v>
      </c>
      <c r="L10" s="8">
        <v>0.42105263157894735</v>
      </c>
      <c r="M10" s="113" t="s">
        <v>394</v>
      </c>
      <c r="N10" s="67">
        <v>1</v>
      </c>
      <c r="O10" s="66">
        <v>-4.1000000000000014</v>
      </c>
    </row>
    <row r="11" spans="1:15" ht="24.75" thickBot="1" x14ac:dyDescent="0.3">
      <c r="A11" s="148"/>
      <c r="B11" s="148"/>
      <c r="C11" s="148"/>
      <c r="D11" s="148"/>
      <c r="E11" s="159"/>
      <c r="F11" s="147"/>
      <c r="G11" s="150"/>
      <c r="H11" s="15" t="e" cm="1">
        <f t="array" ref="H11">_xlfn.IFS(E11 = 1,$L$3,E11&gt;=0.99,$L$4, E11&gt;=0.95,$L$5, E11&gt;= 0.93, $L$6, E11&gt;= 0.9,$L$7, E11&gt;= 0.85,$L$8, E11&gt;= 0.8,$L$9, E11&gt;= 0.75,$L$10, E11 &gt;= 0.7, $L$11, E11&gt;= 0.65, $L$12, E11&gt;= 0.6, $L$13, E11&gt;= 0.55,$L$14, E11 &gt;= 0.5,$L$15)</f>
        <v>#N/A</v>
      </c>
      <c r="I11" s="47"/>
      <c r="J11" s="6" t="s">
        <v>141</v>
      </c>
      <c r="K11" s="42" t="s">
        <v>414</v>
      </c>
      <c r="L11" s="8">
        <v>0.66666666666666663</v>
      </c>
      <c r="M11" s="107" t="s">
        <v>415</v>
      </c>
      <c r="N11" s="67">
        <v>1</v>
      </c>
      <c r="O11" s="66">
        <v>4.5</v>
      </c>
    </row>
    <row r="12" spans="1:15" ht="24.75" thickBot="1" x14ac:dyDescent="0.3">
      <c r="A12" s="148"/>
      <c r="B12" s="148"/>
      <c r="C12" s="148"/>
      <c r="D12" s="148"/>
      <c r="E12" s="159"/>
      <c r="F12" s="147"/>
      <c r="G12" s="150"/>
      <c r="H12" s="15" t="e" cm="1">
        <f t="array" ref="H12">_xlfn.IFS(E12 = 1,$L$3,E12&gt;=0.99,$L$4, E12&gt;=0.95,$L$5, E12&gt;= 0.93, $L$6, E12&gt;= 0.9,$L$7, E12&gt;= 0.85,$L$8, E12&gt;= 0.8,$L$9, E12&gt;= 0.75,$L$10, E12 &gt;= 0.7, $L$11, E12&gt;= 0.65, $L$12, E12&gt;= 0.6, $L$13, E12&gt;= 0.55,$L$14, E12 &gt;= 0.5,$L$15)</f>
        <v>#N/A</v>
      </c>
      <c r="I12" s="47"/>
      <c r="J12" s="6" t="s">
        <v>142</v>
      </c>
      <c r="K12" s="16" t="s">
        <v>416</v>
      </c>
      <c r="L12" s="8">
        <v>0.40909090909090912</v>
      </c>
      <c r="M12" s="87" t="s">
        <v>379</v>
      </c>
      <c r="N12" s="67">
        <v>2.5</v>
      </c>
      <c r="O12" s="66">
        <v>7.7499999999999991</v>
      </c>
    </row>
    <row r="13" spans="1:15" ht="24.75" thickBot="1" x14ac:dyDescent="0.3">
      <c r="A13" s="148"/>
      <c r="B13" s="148"/>
      <c r="C13" s="148"/>
      <c r="D13" s="148"/>
      <c r="E13" s="159"/>
      <c r="F13" s="147"/>
      <c r="G13" s="150"/>
      <c r="H13" s="15" t="e" cm="1">
        <f t="array" ref="H13">_xlfn.IFS(E13 = 1,$L$3,E13&gt;=0.99,$L$4, E13&gt;=0.95,$L$5, E13&gt;= 0.93, $L$6, E13&gt;= 0.9,$L$7, E13&gt;= 0.85,$L$8, E13&gt;= 0.8,$L$9, E13&gt;= 0.75,$L$10, E13 &gt;= 0.7, $L$11, E13&gt;= 0.65, $L$12, E13&gt;= 0.6, $L$13, E13&gt;= 0.55,$L$14, E13 &gt;= 0.5,$L$15)</f>
        <v>#N/A</v>
      </c>
      <c r="I13" s="48"/>
      <c r="J13" s="6" t="s">
        <v>143</v>
      </c>
      <c r="K13" s="42" t="s">
        <v>399</v>
      </c>
      <c r="L13" s="8">
        <v>0.73333333333333328</v>
      </c>
      <c r="M13" s="123" t="s">
        <v>417</v>
      </c>
      <c r="N13" s="67">
        <v>0.5</v>
      </c>
      <c r="O13" s="66">
        <v>3.3</v>
      </c>
    </row>
    <row r="14" spans="1:15" ht="24.75" thickBot="1" x14ac:dyDescent="0.3">
      <c r="A14" s="148"/>
      <c r="B14" s="148"/>
      <c r="C14" s="148"/>
      <c r="D14" s="148"/>
      <c r="E14" s="159"/>
      <c r="F14" s="147"/>
      <c r="G14" s="150"/>
      <c r="H14" s="15" t="e" cm="1">
        <f t="array" ref="H14">_xlfn.IFS(E14 = 1,$L$3,E14&gt;=0.99,$L$4, E14&gt;=0.95,$L$5, E14&gt;= 0.93, $L$6, E14&gt;= 0.9,$L$7, E14&gt;= 0.85,$L$8, E14&gt;= 0.8,$L$9, E14&gt;= 0.75,$L$10, E14 &gt;= 0.7, $L$11, E14&gt;= 0.65, $L$12, E14&gt;= 0.6, $L$13, E14&gt;= 0.55,$L$14, E14 &gt;= 0.5,$L$15)</f>
        <v>#N/A</v>
      </c>
      <c r="I14" s="49"/>
      <c r="J14" s="6" t="s">
        <v>144</v>
      </c>
      <c r="K14" s="16" t="s">
        <v>418</v>
      </c>
      <c r="L14" s="8">
        <v>0.4375</v>
      </c>
      <c r="M14" s="87" t="s">
        <v>387</v>
      </c>
      <c r="N14" s="67">
        <v>2</v>
      </c>
      <c r="O14" s="66">
        <v>-5.8000000000000007</v>
      </c>
    </row>
    <row r="15" spans="1:15" ht="24.75" thickBot="1" x14ac:dyDescent="0.3">
      <c r="A15" s="148"/>
      <c r="B15" s="148"/>
      <c r="C15" s="148"/>
      <c r="D15" s="148"/>
      <c r="E15" s="159"/>
      <c r="F15" s="147"/>
      <c r="G15" s="150"/>
      <c r="H15" s="15" t="e" cm="1">
        <f t="array" ref="H15">_xlfn.IFS(E15 = 1,$L$3,E15&gt;=0.99,$L$4, E15&gt;=0.95,$L$5, E15&gt;= 0.93, $L$6, E15&gt;= 0.9,$L$7, E15&gt;= 0.85,$L$8, E15&gt;= 0.8,$L$9, E15&gt;= 0.75,$L$10, E15 &gt;= 0.7, $L$11, E15&gt;= 0.65, $L$12, E15&gt;= 0.6, $L$13, E15&gt;= 0.55,$L$14, E15 &gt;= 0.5,$L$15)</f>
        <v>#N/A</v>
      </c>
      <c r="I15" s="49"/>
      <c r="J15" s="7" t="s">
        <v>145</v>
      </c>
      <c r="K15" s="16" t="s">
        <v>396</v>
      </c>
      <c r="L15" s="8">
        <v>0.38461538461538464</v>
      </c>
      <c r="M15" s="87" t="s">
        <v>408</v>
      </c>
      <c r="N15" s="67">
        <v>0.5</v>
      </c>
      <c r="O15" s="66">
        <v>-1.9000000000000004</v>
      </c>
    </row>
    <row r="16" spans="1:15" ht="24" x14ac:dyDescent="0.25">
      <c r="A16" s="148"/>
      <c r="B16" s="148"/>
      <c r="C16" s="148"/>
      <c r="D16" s="148"/>
      <c r="E16" s="159"/>
      <c r="F16" s="147"/>
      <c r="G16" s="150"/>
      <c r="H16" s="15" t="e" cm="1">
        <f t="array" ref="H16">_xlfn.IFS(E16 = 1,$L$3,E16&gt;=0.99,$L$4, E16&gt;=0.95,$L$5, E16&gt;= 0.93, $L$6, E16&gt;= 0.9,$L$7, E16&gt;= 0.85,$L$8, E16&gt;= 0.8,$L$9, E16&gt;= 0.75,$L$10, E16 &gt;= 0.7, $L$11, E16&gt;= 0.65, $L$12, E16&gt;= 0.6, $L$13, E16&gt;= 0.55,$L$14, E16 &gt;= 0.5,$L$15)</f>
        <v>#N/A</v>
      </c>
      <c r="I16" s="49"/>
      <c r="O16" s="66"/>
    </row>
    <row r="17" spans="1:15" ht="24" x14ac:dyDescent="0.3">
      <c r="A17" s="148"/>
      <c r="B17" s="148"/>
      <c r="C17" s="148"/>
      <c r="D17" s="148"/>
      <c r="E17" s="159"/>
      <c r="F17" s="147"/>
      <c r="G17" s="150"/>
      <c r="H17" s="15" t="e" cm="1">
        <f t="array" ref="H17">_xlfn.IFS(E17 = 1,$L$3,E17&gt;=0.99,$L$4, E17&gt;=0.95,$L$5, E17&gt;= 0.93, $L$6, E17&gt;= 0.9,$L$7, E17&gt;= 0.85,$L$8, E17&gt;= 0.8,$L$9, E17&gt;= 0.75,$L$10, E17 &gt;= 0.7, $L$11, E17&gt;= 0.65, $L$12, E17&gt;= 0.6, $L$13, E17&gt;= 0.55,$L$14, E17 &gt;= 0.5,$L$15)</f>
        <v>#N/A</v>
      </c>
      <c r="J17" s="67" t="s">
        <v>270</v>
      </c>
      <c r="K17" t="s">
        <v>419</v>
      </c>
      <c r="M17" s="100"/>
      <c r="N17" s="67" t="s">
        <v>270</v>
      </c>
      <c r="O17" s="66">
        <v>60.549999999999976</v>
      </c>
    </row>
    <row r="18" spans="1:15" ht="24" x14ac:dyDescent="0.25">
      <c r="A18" s="148"/>
      <c r="B18" s="148"/>
      <c r="C18" s="148"/>
      <c r="D18" s="148"/>
      <c r="E18" s="159"/>
      <c r="F18" s="147"/>
      <c r="G18" s="150"/>
      <c r="H18" s="15" t="e" cm="1">
        <f t="array" ref="H18">_xlfn.IFS(E18 = 1,$L$3,E18&gt;=0.99,$L$4, E18&gt;=0.95,$L$5, E18&gt;= 0.93, $L$6, E18&gt;= 0.9,$L$7, E18&gt;= 0.85,$L$8, E18&gt;= 0.8,$L$9, E18&gt;= 0.75,$L$10, E18 &gt;= 0.7, $L$11, E18&gt;= 0.65, $L$12, E18&gt;= 0.6, $L$13, E18&gt;= 0.55,$L$14, E18 &gt;= 0.5,$L$15)</f>
        <v>#N/A</v>
      </c>
      <c r="K18" s="160">
        <v>0.50416666666666665</v>
      </c>
    </row>
    <row r="19" spans="1:15" ht="24" x14ac:dyDescent="0.25">
      <c r="A19" s="148"/>
      <c r="B19" s="148"/>
      <c r="C19" s="148"/>
      <c r="D19" s="148"/>
      <c r="E19" s="159"/>
      <c r="F19" s="147"/>
      <c r="G19" s="150"/>
      <c r="H19" s="15" t="e" cm="1">
        <f t="array" ref="H19">_xlfn.IFS(E19 = 1,$L$3,E19&gt;=0.99,$L$4, E19&gt;=0.95,$L$5, E19&gt;= 0.93, $L$6, E19&gt;= 0.9,$L$7, E19&gt;= 0.85,$L$8, E19&gt;= 0.8,$L$9, E19&gt;= 0.75,$L$10, E19 &gt;= 0.7, $L$11, E19&gt;= 0.65, $L$12, E19&gt;= 0.6, $L$13, E19&gt;= 0.55,$L$14, E19 &gt;= 0.5,$L$15)</f>
        <v>#N/A</v>
      </c>
    </row>
    <row r="20" spans="1:15" ht="24" x14ac:dyDescent="0.25">
      <c r="A20" s="148"/>
      <c r="B20" s="148"/>
      <c r="C20" s="148"/>
      <c r="D20" s="148"/>
      <c r="E20" s="159"/>
      <c r="F20" s="147"/>
      <c r="G20" s="150"/>
      <c r="H20" s="15" t="e" cm="1">
        <f t="array" ref="H20">_xlfn.IFS(E20 = 1,$L$3,E20&gt;=0.99,$L$4, E20&gt;=0.95,$L$5, E20&gt;= 0.93, $L$6, E20&gt;= 0.9,$L$7, E20&gt;= 0.85,$L$8, E20&gt;= 0.8,$L$9, E20&gt;= 0.75,$L$10, E20 &gt;= 0.7, $L$11, E20&gt;= 0.65, $L$12, E20&gt;= 0.6, $L$13, E20&gt;= 0.55,$L$14, E20 &gt;= 0.5,$L$15)</f>
        <v>#N/A</v>
      </c>
    </row>
    <row r="21" spans="1:15" ht="24" x14ac:dyDescent="0.25">
      <c r="A21" s="148"/>
      <c r="B21" s="148"/>
      <c r="C21" s="148"/>
      <c r="D21" s="148"/>
      <c r="E21" s="159"/>
      <c r="F21" s="147"/>
      <c r="G21" s="150"/>
      <c r="H21" s="15" t="e" cm="1">
        <f t="array" ref="H21">_xlfn.IFS(E21 = 1,$L$3,E21&gt;=0.99,$L$4, E21&gt;=0.95,$L$5, E21&gt;= 0.93, $L$6, E21&gt;= 0.9,$L$7, E21&gt;= 0.85,$L$8, E21&gt;= 0.8,$L$9, E21&gt;= 0.75,$L$10, E21 &gt;= 0.7, $L$11, E21&gt;= 0.65, $L$12, E21&gt;= 0.6, $L$13, E21&gt;= 0.55,$L$14, E21 &gt;= 0.5,$L$15)</f>
        <v>#N/A</v>
      </c>
    </row>
    <row r="22" spans="1:15" ht="24" x14ac:dyDescent="0.25">
      <c r="A22" s="148"/>
      <c r="B22" s="148"/>
      <c r="C22" s="148"/>
      <c r="D22" s="148"/>
      <c r="E22" s="159"/>
      <c r="F22" s="154"/>
      <c r="G22" s="150"/>
      <c r="H22" s="15" t="e" cm="1">
        <f t="array" ref="H22">_xlfn.IFS(E22 = 1,$L$3,E22&gt;=0.99,$L$4, E22&gt;=0.95,$L$5, E22&gt;= 0.93, $L$6, E22&gt;= 0.9,$L$7, E22&gt;= 0.85,$L$8, E22&gt;= 0.8,$L$9, E22&gt;= 0.75,$L$10, E22 &gt;= 0.7, $L$11, E22&gt;= 0.65, $L$12, E22&gt;= 0.6, $L$13, E22&gt;= 0.55,$L$14, E22 &gt;= 0.5,$L$15)</f>
        <v>#N/A</v>
      </c>
    </row>
    <row r="23" spans="1:15" ht="24" x14ac:dyDescent="0.25">
      <c r="A23" s="148"/>
      <c r="B23" s="148"/>
      <c r="C23" s="148"/>
      <c r="D23" s="148"/>
      <c r="E23" s="159"/>
      <c r="F23" s="154"/>
      <c r="G23" s="150"/>
      <c r="H23" s="15" t="e" cm="1">
        <f t="array" ref="H23">_xlfn.IFS(E23 = 1,$L$3,E23&gt;=0.99,$L$4, E23&gt;=0.95,$L$5, E23&gt;= 0.93, $L$6, E23&gt;= 0.9,$L$7, E23&gt;= 0.85,$L$8, E23&gt;= 0.8,$L$9, E23&gt;= 0.75,$L$10, E23 &gt;= 0.7, $L$11, E23&gt;= 0.65, $L$12, E23&gt;= 0.6, $L$13, E23&gt;= 0.55,$L$14, E23 &gt;= 0.5,$L$15)</f>
        <v>#N/A</v>
      </c>
    </row>
    <row r="24" spans="1:15" ht="24" x14ac:dyDescent="0.25">
      <c r="A24" s="148"/>
      <c r="B24" s="148"/>
      <c r="C24" s="148"/>
      <c r="D24" s="148"/>
      <c r="E24" s="159"/>
      <c r="F24" s="154"/>
      <c r="G24" s="150"/>
      <c r="H24" s="15" t="e" cm="1">
        <f t="array" ref="H24">_xlfn.IFS(E24 = 1,$L$3,E24&gt;=0.99,$L$4, E24&gt;=0.95,$L$5, E24&gt;= 0.93, $L$6, E24&gt;= 0.9,$L$7, E24&gt;= 0.85,$L$8, E24&gt;= 0.8,$L$9, E24&gt;= 0.75,$L$10, E24 &gt;= 0.7, $L$11, E24&gt;= 0.65, $L$12, E24&gt;= 0.6, $L$13, E24&gt;= 0.55,$L$14, E24 &gt;= 0.5,$L$15)</f>
        <v>#N/A</v>
      </c>
    </row>
    <row r="25" spans="1:15" ht="24" x14ac:dyDescent="0.25">
      <c r="A25" s="148"/>
      <c r="B25" s="148"/>
      <c r="C25" s="148"/>
      <c r="D25" s="148"/>
      <c r="E25" s="159"/>
      <c r="F25" s="154"/>
      <c r="G25" s="150"/>
      <c r="H25" s="15" t="e" cm="1">
        <f t="array" ref="H25">_xlfn.IFS(E25 = 1,$L$3,E25&gt;=0.99,$L$4, E25&gt;=0.95,$L$5, E25&gt;= 0.93, $L$6, E25&gt;= 0.9,$L$7, E25&gt;= 0.85,$L$8, E25&gt;= 0.8,$L$9, E25&gt;= 0.75,$L$10, E25 &gt;= 0.7, $L$11, E25&gt;= 0.65, $L$12, E25&gt;= 0.6, $L$13, E25&gt;= 0.55,$L$14, E25 &gt;= 0.5,$L$15)</f>
        <v>#N/A</v>
      </c>
    </row>
    <row r="26" spans="1:15" ht="24" x14ac:dyDescent="0.25">
      <c r="A26" s="148"/>
      <c r="B26" s="148"/>
      <c r="C26" s="148"/>
      <c r="D26" s="148"/>
      <c r="E26" s="159"/>
      <c r="F26" s="154"/>
      <c r="G26" s="150"/>
      <c r="H26" s="15" t="e" cm="1">
        <f t="array" ref="H26">_xlfn.IFS(E26 = 1,$L$3,E26&gt;=0.99,$L$4, E26&gt;=0.95,$L$5, E26&gt;= 0.93, $L$6, E26&gt;= 0.9,$L$7, E26&gt;= 0.85,$L$8, E26&gt;= 0.8,$L$9, E26&gt;= 0.75,$L$10, E26 &gt;= 0.7, $L$11, E26&gt;= 0.65, $L$12, E26&gt;= 0.6, $L$13, E26&gt;= 0.55,$L$14, E26 &gt;= 0.5,$L$15)</f>
        <v>#N/A</v>
      </c>
    </row>
    <row r="27" spans="1:15" ht="24" x14ac:dyDescent="0.25">
      <c r="A27" s="148"/>
      <c r="B27" s="148"/>
      <c r="C27" s="148"/>
      <c r="D27" s="148"/>
      <c r="E27" s="159"/>
      <c r="F27" s="154"/>
      <c r="G27" s="150"/>
      <c r="H27" s="15" t="e" cm="1">
        <f t="array" ref="H27">_xlfn.IFS(E27 = 1,$L$3,E27&gt;=0.99,$L$4, E27&gt;=0.95,$L$5, E27&gt;= 0.93, $L$6, E27&gt;= 0.9,$L$7, E27&gt;= 0.85,$L$8, E27&gt;= 0.8,$L$9, E27&gt;= 0.75,$L$10, E27 &gt;= 0.7, $L$11, E27&gt;= 0.65, $L$12, E27&gt;= 0.6, $L$13, E27&gt;= 0.55,$L$14, E27 &gt;= 0.5,$L$15)</f>
        <v>#N/A</v>
      </c>
    </row>
    <row r="28" spans="1:15" ht="24" x14ac:dyDescent="0.25">
      <c r="A28" s="148"/>
      <c r="B28" s="148"/>
      <c r="C28" s="148"/>
      <c r="D28" s="148"/>
      <c r="E28" s="159"/>
      <c r="F28" s="154"/>
      <c r="G28" s="150"/>
      <c r="H28" s="15" t="e" cm="1">
        <f t="array" ref="H28">_xlfn.IFS(E28 = 1,$L$3,E28&gt;=0.99,$L$4, E28&gt;=0.95,$L$5, E28&gt;= 0.93, $L$6, E28&gt;= 0.9,$L$7, E28&gt;= 0.85,$L$8, E28&gt;= 0.8,$L$9, E28&gt;= 0.75,$L$10, E28 &gt;= 0.7, $L$11, E28&gt;= 0.65, $L$12, E28&gt;= 0.6, $L$13, E28&gt;= 0.55,$L$14, E28 &gt;= 0.5,$L$15)</f>
        <v>#N/A</v>
      </c>
    </row>
    <row r="29" spans="1:15" ht="24" x14ac:dyDescent="0.25">
      <c r="A29" s="148"/>
      <c r="B29" s="148"/>
      <c r="C29" s="148"/>
      <c r="D29" s="148"/>
      <c r="E29" s="159"/>
      <c r="F29" s="154"/>
      <c r="G29" s="150"/>
      <c r="H29" s="15" t="e" cm="1">
        <f t="array" ref="H29">_xlfn.IFS(E29 = 1,$L$3,E29&gt;=0.99,$L$4, E29&gt;=0.95,$L$5, E29&gt;= 0.93, $L$6, E29&gt;= 0.9,$L$7, E29&gt;= 0.85,$L$8, E29&gt;= 0.8,$L$9, E29&gt;= 0.75,$L$10, E29 &gt;= 0.7, $L$11, E29&gt;= 0.65, $L$12, E29&gt;= 0.6, $L$13, E29&gt;= 0.55,$L$14, E29 &gt;= 0.5,$L$15)</f>
        <v>#N/A</v>
      </c>
    </row>
    <row r="30" spans="1:15" ht="24" x14ac:dyDescent="0.25">
      <c r="A30" s="148"/>
      <c r="B30" s="148"/>
      <c r="C30" s="148"/>
      <c r="D30" s="148"/>
      <c r="E30" s="159"/>
      <c r="F30" s="154"/>
      <c r="G30" s="150"/>
      <c r="H30" s="15" t="e" cm="1">
        <f t="array" ref="H30">_xlfn.IFS(E30 = 1,$L$3,E30&gt;=0.99,$L$4, E30&gt;=0.95,$L$5, E30&gt;= 0.93, $L$6, E30&gt;= 0.9,$L$7, E30&gt;= 0.85,$L$8, E30&gt;= 0.8,$L$9, E30&gt;= 0.75,$L$10, E30 &gt;= 0.7, $L$11, E30&gt;= 0.65, $L$12, E30&gt;= 0.6, $L$13, E30&gt;= 0.55,$L$14, E30 &gt;= 0.5,$L$15)</f>
        <v>#N/A</v>
      </c>
    </row>
    <row r="31" spans="1:15" ht="24" x14ac:dyDescent="0.25">
      <c r="A31" s="148"/>
      <c r="B31" s="148"/>
      <c r="C31" s="148"/>
      <c r="D31" s="148"/>
      <c r="E31" s="159"/>
      <c r="F31" s="154"/>
      <c r="G31" s="150"/>
      <c r="H31" s="15" t="e" cm="1">
        <f t="array" ref="H31">_xlfn.IFS(E31 = 1,$L$3,E31&gt;=0.99,$L$4, E31&gt;=0.95,$L$5, E31&gt;= 0.93, $L$6, E31&gt;= 0.9,$L$7, E31&gt;= 0.85,$L$8, E31&gt;= 0.8,$L$9, E31&gt;= 0.75,$L$10, E31 &gt;= 0.7, $L$11, E31&gt;= 0.65, $L$12, E31&gt;= 0.6, $L$13, E31&gt;= 0.55,$L$14, E31 &gt;= 0.5,$L$15)</f>
        <v>#N/A</v>
      </c>
    </row>
    <row r="32" spans="1:15" ht="24" x14ac:dyDescent="0.25">
      <c r="A32" s="148"/>
      <c r="B32" s="148"/>
      <c r="C32" s="148"/>
      <c r="D32" s="148"/>
      <c r="E32" s="159"/>
      <c r="F32" s="154"/>
      <c r="G32" s="150"/>
      <c r="H32" s="15" t="e" cm="1">
        <f t="array" ref="H32">_xlfn.IFS(E32 = 1,$L$3,E32&gt;=0.99,$L$4, E32&gt;=0.95,$L$5, E32&gt;= 0.93, $L$6, E32&gt;= 0.9,$L$7, E32&gt;= 0.85,$L$8, E32&gt;= 0.8,$L$9, E32&gt;= 0.75,$L$10, E32 &gt;= 0.7, $L$11, E32&gt;= 0.65, $L$12, E32&gt;= 0.6, $L$13, E32&gt;= 0.55,$L$14, E32 &gt;= 0.5,$L$15)</f>
        <v>#N/A</v>
      </c>
    </row>
    <row r="33" spans="1:8" ht="24" x14ac:dyDescent="0.25">
      <c r="A33" s="148"/>
      <c r="B33" s="148"/>
      <c r="C33" s="148"/>
      <c r="D33" s="148"/>
      <c r="E33" s="159"/>
      <c r="F33" s="154"/>
      <c r="G33" s="150"/>
      <c r="H33" s="15" t="e" cm="1">
        <f t="array" ref="H33">_xlfn.IFS(E33 = 1,$L$3,E33&gt;=0.99,$L$4, E33&gt;=0.95,$L$5, E33&gt;= 0.93, $L$6, E33&gt;= 0.9,$L$7, E33&gt;= 0.85,$L$8, E33&gt;= 0.8,$L$9, E33&gt;= 0.75,$L$10, E33 &gt;= 0.7, $L$11, E33&gt;= 0.65, $L$12, E33&gt;= 0.6, $L$13, E33&gt;= 0.55,$L$14, E33 &gt;= 0.5,$L$15)</f>
        <v>#N/A</v>
      </c>
    </row>
    <row r="34" spans="1:8" ht="24" x14ac:dyDescent="0.25">
      <c r="A34" s="148"/>
      <c r="B34" s="148"/>
      <c r="C34" s="148"/>
      <c r="D34" s="148"/>
      <c r="E34" s="159"/>
      <c r="F34" s="154"/>
      <c r="G34" s="150"/>
      <c r="H34" s="15" t="e" cm="1">
        <f t="array" ref="H34">_xlfn.IFS(E34 = 1,$L$3,E34&gt;=0.99,$L$4, E34&gt;=0.95,$L$5, E34&gt;= 0.93, $L$6, E34&gt;= 0.9,$L$7, E34&gt;= 0.85,$L$8, E34&gt;= 0.8,$L$9, E34&gt;= 0.75,$L$10, E34 &gt;= 0.7, $L$11, E34&gt;= 0.65, $L$12, E34&gt;= 0.6, $L$13, E34&gt;= 0.55,$L$14, E34 &gt;= 0.5,$L$15)</f>
        <v>#N/A</v>
      </c>
    </row>
    <row r="35" spans="1:8" ht="24" x14ac:dyDescent="0.25">
      <c r="A35" s="148"/>
      <c r="B35" s="148"/>
      <c r="C35" s="148"/>
      <c r="D35" s="148"/>
      <c r="E35" s="159"/>
      <c r="F35" s="154"/>
      <c r="G35" s="150"/>
      <c r="H35" s="15" t="e" cm="1">
        <f t="array" ref="H35">_xlfn.IFS(E35 = 1,$L$3,E35&gt;=0.99,$L$4, E35&gt;=0.95,$L$5, E35&gt;= 0.93, $L$6, E35&gt;= 0.9,$L$7, E35&gt;= 0.85,$L$8, E35&gt;= 0.8,$L$9, E35&gt;= 0.75,$L$10, E35 &gt;= 0.7, $L$11, E35&gt;= 0.65, $L$12, E35&gt;= 0.6, $L$13, E35&gt;= 0.55,$L$14, E35 &gt;= 0.5,$L$15)</f>
        <v>#N/A</v>
      </c>
    </row>
    <row r="36" spans="1:8" ht="24" x14ac:dyDescent="0.25">
      <c r="A36" s="148"/>
      <c r="B36" s="148"/>
      <c r="C36" s="148"/>
      <c r="D36" s="148"/>
      <c r="E36" s="159"/>
      <c r="F36" s="154"/>
      <c r="G36" s="150"/>
      <c r="H36" s="15" t="e" cm="1">
        <f t="array" ref="H36">_xlfn.IFS(E36 = 1,$L$3,E36&gt;=0.99,$L$4, E36&gt;=0.95,$L$5, E36&gt;= 0.93, $L$6, E36&gt;= 0.9,$L$7, E36&gt;= 0.85,$L$8, E36&gt;= 0.8,$L$9, E36&gt;= 0.75,$L$10, E36 &gt;= 0.7, $L$11, E36&gt;= 0.65, $L$12, E36&gt;= 0.6, $L$13, E36&gt;= 0.55,$L$14, E36 &gt;= 0.5,$L$15)</f>
        <v>#N/A</v>
      </c>
    </row>
    <row r="37" spans="1:8" ht="24" x14ac:dyDescent="0.25">
      <c r="A37" s="109"/>
      <c r="B37" s="109"/>
      <c r="C37" s="109"/>
      <c r="D37" s="109"/>
      <c r="E37" s="140"/>
      <c r="G37" s="111"/>
      <c r="H37" s="15" t="e" cm="1">
        <f t="array" ref="H37">_xlfn.IFS(E37 = 1,$L$3,E37&gt;=0.99,$L$4, E37&gt;=0.95,$L$5, E37&gt;= 0.93, $L$6, E37&gt;= 0.9,$L$7, E37&gt;= 0.85,$L$8, E37&gt;= 0.8,$L$9, E37&gt;= 0.75,$L$10, E37 &gt;= 0.7, $L$11, E37&gt;= 0.65, $L$12, E37&gt;= 0.6, $L$13, E37&gt;= 0.55,$L$14, E37 &gt;= 0.5,$L$15)</f>
        <v>#N/A</v>
      </c>
    </row>
    <row r="38" spans="1:8" ht="24" x14ac:dyDescent="0.25">
      <c r="A38" s="109"/>
      <c r="B38" s="109"/>
      <c r="C38" s="109"/>
      <c r="D38" s="109"/>
      <c r="E38" s="140"/>
      <c r="G38" s="111"/>
      <c r="H38" s="15" t="e" cm="1">
        <f t="array" ref="H38">_xlfn.IFS(E38 = 1,$L$3,E38&gt;=0.99,$L$4, E38&gt;=0.95,$L$5, E38&gt;= 0.93, $L$6, E38&gt;= 0.9,$L$7, E38&gt;= 0.85,$L$8, E38&gt;= 0.8,$L$9, E38&gt;= 0.75,$L$10, E38 &gt;= 0.7, $L$11, E38&gt;= 0.65, $L$12, E38&gt;= 0.6, $L$13, E38&gt;= 0.55,$L$14, E38 &gt;= 0.5,$L$15)</f>
        <v>#N/A</v>
      </c>
    </row>
    <row r="39" spans="1:8" ht="24" x14ac:dyDescent="0.25">
      <c r="A39" s="109"/>
      <c r="B39" s="109"/>
      <c r="C39" s="109"/>
      <c r="D39" s="109"/>
      <c r="E39" s="140"/>
      <c r="G39" s="111"/>
      <c r="H39" s="15" t="e" cm="1">
        <f t="array" ref="H39">_xlfn.IFS(E39 = 1,$L$3,E39&gt;=0.99,$L$4, E39&gt;=0.95,$L$5, E39&gt;= 0.93, $L$6, E39&gt;= 0.9,$L$7, E39&gt;= 0.85,$L$8, E39&gt;= 0.8,$L$9, E39&gt;= 0.75,$L$10, E39 &gt;= 0.7, $L$11, E39&gt;= 0.65, $L$12, E39&gt;= 0.6, $L$13, E39&gt;= 0.55,$L$14, E39 &gt;= 0.5,$L$15)</f>
        <v>#N/A</v>
      </c>
    </row>
    <row r="40" spans="1:8" ht="24" x14ac:dyDescent="0.25">
      <c r="A40" s="109"/>
      <c r="B40" s="109"/>
      <c r="C40" s="109"/>
      <c r="D40" s="109"/>
      <c r="E40" s="140"/>
      <c r="G40" s="111"/>
      <c r="H40" s="15" t="e" cm="1">
        <f t="array" ref="H40">_xlfn.IFS(E40 = 1,$L$3,E40&gt;=0.99,$L$4, E40&gt;=0.95,$L$5, E40&gt;= 0.93, $L$6, E40&gt;= 0.9,$L$7, E40&gt;= 0.85,$L$8, E40&gt;= 0.8,$L$9, E40&gt;= 0.75,$L$10, E40 &gt;= 0.7, $L$11, E40&gt;= 0.65, $L$12, E40&gt;= 0.6, $L$13, E40&gt;= 0.55,$L$14, E40 &gt;= 0.5,$L$15)</f>
        <v>#N/A</v>
      </c>
    </row>
    <row r="41" spans="1:8" ht="24" x14ac:dyDescent="0.25">
      <c r="D41"/>
      <c r="G41" s="22"/>
      <c r="H41" s="15" t="e" cm="1">
        <f t="array" ref="H41">_xlfn.IFS(E41 = 1,$L$3,E41&gt;=0.99,$L$4, E41&gt;=0.95,$L$5, E41&gt;= 0.93, $L$6, E41&gt;= 0.9,$L$7, E41&gt;= 0.85,$L$8, E41&gt;= 0.8,$L$9, E41&gt;= 0.75,$L$10, E41 &gt;= 0.7, $L$11, E41&gt;= 0.65, $L$12, E41&gt;= 0.6, $L$13, E41&gt;= 0.55,$L$14, E41 &gt;= 0.5,$L$15)</f>
        <v>#N/A</v>
      </c>
    </row>
    <row r="42" spans="1:8" ht="24" x14ac:dyDescent="0.25">
      <c r="D42"/>
      <c r="G42" s="22"/>
      <c r="H42" s="15" t="e" cm="1">
        <f t="array" ref="H42">_xlfn.IFS(E42 = 1,$L$3,E42&gt;=0.99,$L$4, E42&gt;=0.95,$L$5, E42&gt;= 0.93, $L$6, E42&gt;= 0.9,$L$7, E42&gt;= 0.85,$L$8, E42&gt;= 0.8,$L$9, E42&gt;= 0.75,$L$10, E42 &gt;= 0.7, $L$11, E42&gt;= 0.65, $L$12, E42&gt;= 0.6, $L$13, E42&gt;= 0.55,$L$14, E42 &gt;= 0.5,$L$15)</f>
        <v>#N/A</v>
      </c>
    </row>
    <row r="43" spans="1:8" ht="24" x14ac:dyDescent="0.25">
      <c r="D43"/>
      <c r="G43" s="22"/>
      <c r="H43" s="15" t="e" cm="1">
        <f t="array" ref="H43">_xlfn.IFS(E43 = 1,$L$3,E43&gt;=0.99,$L$4, E43&gt;=0.95,$L$5, E43&gt;= 0.93, $L$6, E43&gt;= 0.9,$L$7, E43&gt;= 0.85,$L$8, E43&gt;= 0.8,$L$9, E43&gt;= 0.75,$L$10, E43 &gt;= 0.7, $L$11, E43&gt;= 0.65, $L$12, E43&gt;= 0.6, $L$13, E43&gt;= 0.55,$L$14, E43 &gt;= 0.5,$L$15)</f>
        <v>#N/A</v>
      </c>
    </row>
    <row r="44" spans="1:8" ht="24" x14ac:dyDescent="0.25">
      <c r="D44"/>
      <c r="G44" s="22"/>
      <c r="H44" s="15" t="e" cm="1">
        <f t="array" ref="H44">_xlfn.IFS(E44 = 1,$L$3,E44&gt;=0.99,$L$4, E44&gt;=0.95,$L$5, E44&gt;= 0.93, $L$6, E44&gt;= 0.9,$L$7, E44&gt;= 0.85,$L$8, E44&gt;= 0.8,$L$9, E44&gt;= 0.75,$L$10, E44 &gt;= 0.7, $L$11, E44&gt;= 0.65, $L$12, E44&gt;= 0.6, $L$13, E44&gt;= 0.55,$L$14, E44 &gt;= 0.5,$L$15)</f>
        <v>#N/A</v>
      </c>
    </row>
    <row r="45" spans="1:8" ht="24" x14ac:dyDescent="0.25">
      <c r="D45"/>
      <c r="G45" s="22"/>
      <c r="H45" s="15" t="e" cm="1">
        <f t="array" ref="H45">_xlfn.IFS(E45 = 1,$L$3,E45&gt;=0.99,$L$4, E45&gt;=0.95,$L$5, E45&gt;= 0.93, $L$6, E45&gt;= 0.9,$L$7, E45&gt;= 0.85,$L$8, E45&gt;= 0.8,$L$9, E45&gt;= 0.75,$L$10, E45 &gt;= 0.7, $L$11, E45&gt;= 0.65, $L$12, E45&gt;= 0.6, $L$13, E45&gt;= 0.55,$L$14, E45 &gt;= 0.5,$L$15)</f>
        <v>#N/A</v>
      </c>
    </row>
    <row r="46" spans="1:8" ht="24" x14ac:dyDescent="0.25">
      <c r="D46"/>
      <c r="G46" s="22"/>
      <c r="H46" s="15" t="e" cm="1">
        <f t="array" ref="H46">_xlfn.IFS(E46 = 1,$L$3,E46&gt;=0.99,$L$4, E46&gt;=0.95,$L$5, E46&gt;= 0.93, $L$6, E46&gt;= 0.9,$L$7, E46&gt;= 0.85,$L$8, E46&gt;= 0.8,$L$9, E46&gt;= 0.75,$L$10, E46 &gt;= 0.7, $L$11, E46&gt;= 0.65, $L$12, E46&gt;= 0.6, $L$13, E46&gt;= 0.55,$L$14, E46 &gt;= 0.5,$L$15)</f>
        <v>#N/A</v>
      </c>
    </row>
    <row r="47" spans="1:8" ht="24" x14ac:dyDescent="0.25">
      <c r="D47"/>
      <c r="G47" s="22"/>
      <c r="H47" s="15" t="e" cm="1">
        <f t="array" ref="H47">_xlfn.IFS(E47 = 1,$L$3,E47&gt;=0.99,$L$4, E47&gt;=0.95,$L$5, E47&gt;= 0.93, $L$6, E47&gt;= 0.9,$L$7, E47&gt;= 0.85,$L$8, E47&gt;= 0.8,$L$9, E47&gt;= 0.75,$L$10, E47 &gt;= 0.7, $L$11, E47&gt;= 0.65, $L$12, E47&gt;= 0.6, $L$13, E47&gt;= 0.55,$L$14, E47 &gt;= 0.5,$L$15)</f>
        <v>#N/A</v>
      </c>
    </row>
    <row r="48" spans="1:8" ht="24" x14ac:dyDescent="0.25">
      <c r="D48"/>
      <c r="G48" s="22"/>
      <c r="H48" s="15" t="e" cm="1">
        <f t="array" ref="H48">_xlfn.IFS(E48 = 1,$L$3,E48&gt;=0.99,$L$4, E48&gt;=0.95,$L$5, E48&gt;= 0.93, $L$6, E48&gt;= 0.9,$L$7, E48&gt;= 0.85,$L$8, E48&gt;= 0.8,$L$9, E48&gt;= 0.75,$L$10, E48 &gt;= 0.7, $L$11, E48&gt;= 0.65, $L$12, E48&gt;= 0.6, $L$13, E48&gt;= 0.55,$L$14, E48 &gt;= 0.5,$L$15)</f>
        <v>#N/A</v>
      </c>
    </row>
    <row r="49" spans="4:7" x14ac:dyDescent="0.25">
      <c r="D49"/>
      <c r="G49" s="22"/>
    </row>
    <row r="71" spans="7:7" x14ac:dyDescent="0.25">
      <c r="G71" s="20"/>
    </row>
    <row r="72" spans="7:7" x14ac:dyDescent="0.25">
      <c r="G72" s="22"/>
    </row>
    <row r="73" spans="7:7" x14ac:dyDescent="0.25">
      <c r="G73" s="22"/>
    </row>
    <row r="74" spans="7:7" x14ac:dyDescent="0.25">
      <c r="G74" s="22"/>
    </row>
    <row r="75" spans="7:7" x14ac:dyDescent="0.25">
      <c r="G75" s="22"/>
    </row>
    <row r="76" spans="7:7" x14ac:dyDescent="0.25">
      <c r="G76" s="22"/>
    </row>
    <row r="77" spans="7:7" x14ac:dyDescent="0.25">
      <c r="G77" s="22"/>
    </row>
    <row r="78" spans="7:7" x14ac:dyDescent="0.25">
      <c r="G78" s="22"/>
    </row>
    <row r="79" spans="7:7" x14ac:dyDescent="0.25">
      <c r="G79" s="22"/>
    </row>
    <row r="80" spans="7:7" x14ac:dyDescent="0.25">
      <c r="G80" s="22"/>
    </row>
    <row r="81" spans="1:7" x14ac:dyDescent="0.25">
      <c r="G81" s="41"/>
    </row>
    <row r="82" spans="1:7" x14ac:dyDescent="0.25">
      <c r="G82" s="41"/>
    </row>
    <row r="83" spans="1:7" x14ac:dyDescent="0.25">
      <c r="G83" s="41"/>
    </row>
    <row r="84" spans="1:7" x14ac:dyDescent="0.25">
      <c r="G84" s="41"/>
    </row>
    <row r="85" spans="1:7" x14ac:dyDescent="0.25">
      <c r="G85" s="41"/>
    </row>
    <row r="96" spans="1:7" x14ac:dyDescent="0.25">
      <c r="A96" s="39"/>
      <c r="B96" s="39"/>
      <c r="C96" s="39"/>
      <c r="D96" s="65"/>
      <c r="E96" s="60"/>
    </row>
    <row r="97" spans="1:5" x14ac:dyDescent="0.25">
      <c r="A97" s="39"/>
      <c r="B97" s="39"/>
      <c r="C97" s="39"/>
      <c r="D97" s="65"/>
      <c r="E97" s="60"/>
    </row>
    <row r="98" spans="1:5" x14ac:dyDescent="0.25">
      <c r="A98" s="39"/>
      <c r="B98" s="39"/>
      <c r="C98" s="39"/>
      <c r="D98" s="65"/>
      <c r="E98" s="60"/>
    </row>
    <row r="99" spans="1:5" x14ac:dyDescent="0.25">
      <c r="A99" s="39"/>
      <c r="B99" s="39"/>
      <c r="C99" s="39"/>
      <c r="D99" s="65"/>
      <c r="E99" s="60"/>
    </row>
    <row r="100" spans="1:5" x14ac:dyDescent="0.25">
      <c r="A100" s="39"/>
      <c r="B100" s="39"/>
      <c r="C100" s="39"/>
      <c r="D100" s="65"/>
      <c r="E100" s="60"/>
    </row>
    <row r="101" spans="1:5" x14ac:dyDescent="0.25">
      <c r="A101" s="39"/>
      <c r="B101" s="39"/>
      <c r="C101" s="39"/>
      <c r="D101" s="65"/>
      <c r="E101" s="60"/>
    </row>
    <row r="102" spans="1:5" x14ac:dyDescent="0.25">
      <c r="A102" s="39"/>
      <c r="B102" s="39"/>
      <c r="C102" s="39"/>
      <c r="D102" s="65"/>
      <c r="E102" s="60"/>
    </row>
    <row r="103" spans="1:5" x14ac:dyDescent="0.25">
      <c r="A103" s="39"/>
      <c r="B103" s="39"/>
      <c r="C103" s="39"/>
      <c r="D103" s="65"/>
      <c r="E103" s="60"/>
    </row>
    <row r="104" spans="1:5" x14ac:dyDescent="0.25">
      <c r="A104" s="39"/>
      <c r="B104" s="39"/>
      <c r="C104" s="39"/>
      <c r="D104" s="65"/>
      <c r="E104" s="60"/>
    </row>
    <row r="105" spans="1:5" x14ac:dyDescent="0.25">
      <c r="A105" s="39"/>
      <c r="B105" s="39"/>
      <c r="C105" s="39"/>
      <c r="D105" s="65"/>
      <c r="E105" s="60"/>
    </row>
    <row r="106" spans="1:5" x14ac:dyDescent="0.25">
      <c r="A106" s="39"/>
      <c r="B106" s="39"/>
      <c r="C106" s="39"/>
      <c r="D106" s="65"/>
      <c r="E106" s="60"/>
    </row>
    <row r="107" spans="1:5" x14ac:dyDescent="0.25">
      <c r="A107" s="39"/>
      <c r="B107" s="39"/>
      <c r="C107" s="39"/>
      <c r="D107" s="65"/>
      <c r="E107" s="60"/>
    </row>
    <row r="108" spans="1:5" x14ac:dyDescent="0.25">
      <c r="A108" s="39"/>
      <c r="B108" s="39"/>
      <c r="C108" s="39"/>
      <c r="D108" s="65"/>
      <c r="E108" s="60"/>
    </row>
    <row r="109" spans="1:5" x14ac:dyDescent="0.25">
      <c r="A109" s="39"/>
      <c r="B109" s="39"/>
      <c r="C109" s="39"/>
      <c r="D109" s="65"/>
      <c r="E109" s="60"/>
    </row>
    <row r="110" spans="1:5" x14ac:dyDescent="0.25">
      <c r="A110" s="39"/>
      <c r="B110" s="39"/>
      <c r="C110" s="39"/>
      <c r="D110" s="65"/>
      <c r="E110" s="60"/>
    </row>
    <row r="111" spans="1:5" x14ac:dyDescent="0.25">
      <c r="A111" s="39"/>
      <c r="B111" s="39"/>
      <c r="C111" s="39"/>
      <c r="D111" s="65"/>
      <c r="E111" s="60"/>
    </row>
    <row r="112" spans="1:5" x14ac:dyDescent="0.25">
      <c r="A112" s="39"/>
      <c r="B112" s="39"/>
      <c r="C112" s="39"/>
      <c r="D112" s="65"/>
      <c r="E112" s="60"/>
    </row>
    <row r="113" spans="1:5" x14ac:dyDescent="0.25">
      <c r="A113" s="39"/>
      <c r="B113" s="39"/>
      <c r="C113" s="39"/>
      <c r="D113" s="65"/>
      <c r="E113" s="60"/>
    </row>
    <row r="114" spans="1:5" x14ac:dyDescent="0.25">
      <c r="A114" s="39"/>
      <c r="B114" s="39"/>
      <c r="C114" s="39"/>
      <c r="D114" s="65"/>
      <c r="E114" s="60"/>
    </row>
    <row r="115" spans="1:5" x14ac:dyDescent="0.25">
      <c r="A115" s="39"/>
      <c r="B115" s="39"/>
      <c r="C115" s="39"/>
      <c r="D115" s="65"/>
      <c r="E115" s="60"/>
    </row>
    <row r="116" spans="1:5" x14ac:dyDescent="0.25">
      <c r="A116" s="39"/>
      <c r="B116" s="39"/>
      <c r="C116" s="39"/>
      <c r="D116" s="65"/>
      <c r="E116" s="60"/>
    </row>
    <row r="117" spans="1:5" x14ac:dyDescent="0.25">
      <c r="A117" s="39"/>
      <c r="B117" s="39"/>
      <c r="C117" s="39"/>
      <c r="D117" s="65"/>
      <c r="E117" s="60"/>
    </row>
    <row r="118" spans="1:5" x14ac:dyDescent="0.25">
      <c r="A118" s="39"/>
      <c r="B118" s="39"/>
      <c r="C118" s="39"/>
      <c r="D118" s="65"/>
      <c r="E118" s="60"/>
    </row>
    <row r="119" spans="1:5" x14ac:dyDescent="0.25">
      <c r="A119" s="39"/>
      <c r="B119" s="39"/>
      <c r="C119" s="39"/>
      <c r="D119" s="65"/>
      <c r="E119" s="60"/>
    </row>
    <row r="120" spans="1:5" x14ac:dyDescent="0.25">
      <c r="A120" s="39"/>
      <c r="B120" s="39"/>
      <c r="C120" s="39"/>
      <c r="D120" s="65"/>
      <c r="E120" s="60"/>
    </row>
    <row r="121" spans="1:5" x14ac:dyDescent="0.25">
      <c r="A121" s="39"/>
      <c r="B121" s="39"/>
      <c r="C121" s="39"/>
      <c r="D121" s="65"/>
      <c r="E121" s="60"/>
    </row>
    <row r="122" spans="1:5" x14ac:dyDescent="0.25">
      <c r="A122" s="39"/>
      <c r="B122" s="39"/>
      <c r="C122" s="39"/>
      <c r="D122" s="65"/>
      <c r="E122" s="60"/>
    </row>
    <row r="123" spans="1:5" x14ac:dyDescent="0.25">
      <c r="A123" s="39"/>
      <c r="B123" s="39"/>
      <c r="C123" s="39"/>
      <c r="D123" s="65"/>
      <c r="E123" s="60"/>
    </row>
    <row r="124" spans="1:5" x14ac:dyDescent="0.25">
      <c r="A124" s="39"/>
      <c r="B124" s="39"/>
      <c r="C124" s="39"/>
      <c r="D124" s="65"/>
      <c r="E124" s="60"/>
    </row>
    <row r="125" spans="1:5" x14ac:dyDescent="0.25">
      <c r="A125" s="39"/>
      <c r="B125" s="39"/>
      <c r="C125" s="39"/>
      <c r="D125" s="65"/>
      <c r="E125" s="60"/>
    </row>
    <row r="126" spans="1:5" x14ac:dyDescent="0.25">
      <c r="A126" s="39"/>
      <c r="B126" s="39"/>
      <c r="C126" s="39"/>
      <c r="D126" s="65"/>
      <c r="E126" s="60"/>
    </row>
  </sheetData>
  <mergeCells count="1">
    <mergeCell ref="J1:M1"/>
  </mergeCells>
  <conditionalFormatting sqref="H2:H48">
    <cfRule type="containsText" dxfId="141" priority="10" operator="containsText" text="NA">
      <formula>NOT(ISERROR(SEARCH("NA",H2)))</formula>
    </cfRule>
    <cfRule type="cellIs" dxfId="140" priority="11" operator="greaterThan">
      <formula>0.75</formula>
    </cfRule>
    <cfRule type="cellIs" dxfId="139" priority="12" operator="greaterThan">
      <formula>0.5</formula>
    </cfRule>
    <cfRule type="cellIs" dxfId="138" priority="13" operator="lessThanOrEqual">
      <formula>0.25</formula>
    </cfRule>
    <cfRule type="cellIs" dxfId="137" priority="14" operator="lessThan">
      <formula>0.5</formula>
    </cfRule>
  </conditionalFormatting>
  <conditionalFormatting sqref="K3">
    <cfRule type="expression" dxfId="136" priority="9">
      <formula>"K2 = L2"</formula>
    </cfRule>
    <cfRule type="containsText" dxfId="135" priority="23" operator="containsText" text="NA">
      <formula>NOT(ISERROR(SEARCH("NA",K3)))</formula>
    </cfRule>
    <cfRule type="cellIs" dxfId="134" priority="24" operator="greaterThan">
      <formula>0.75</formula>
    </cfRule>
    <cfRule type="cellIs" dxfId="133" priority="25" operator="greaterThan">
      <formula>0.5</formula>
    </cfRule>
    <cfRule type="cellIs" dxfId="132" priority="26" operator="lessThanOrEqual">
      <formula>0.25</formula>
    </cfRule>
    <cfRule type="cellIs" dxfId="131" priority="27" operator="lessThan">
      <formula>0.5</formula>
    </cfRule>
  </conditionalFormatting>
  <conditionalFormatting sqref="L3:L15">
    <cfRule type="expression" dxfId="130" priority="7">
      <formula>"(L2&gt;.75)"</formula>
    </cfRule>
    <cfRule type="containsText" dxfId="129" priority="33" operator="containsText" text="NA">
      <formula>NOT(ISERROR(SEARCH("NA",L3)))</formula>
    </cfRule>
    <cfRule type="cellIs" dxfId="128" priority="34" operator="greaterThan">
      <formula>0.75</formula>
    </cfRule>
    <cfRule type="cellIs" dxfId="127" priority="35" operator="greaterThan">
      <formula>0.5</formula>
    </cfRule>
    <cfRule type="cellIs" dxfId="126" priority="36" operator="lessThanOrEqual">
      <formula>0.25</formula>
    </cfRule>
    <cfRule type="cellIs" dxfId="125" priority="37" operator="less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1FB9-5E16-49F6-A1E7-3776E5D02FB5}">
  <sheetPr codeName="Sheet2"/>
  <dimension ref="A1:V497"/>
  <sheetViews>
    <sheetView zoomScale="85" zoomScaleNormal="85" workbookViewId="0">
      <selection activeCell="M3" sqref="M3"/>
    </sheetView>
  </sheetViews>
  <sheetFormatPr defaultRowHeight="15.75" x14ac:dyDescent="0.25"/>
  <cols>
    <col min="1" max="1" width="13.875" bestFit="1" customWidth="1"/>
    <col min="2" max="2" width="11.5" bestFit="1" customWidth="1"/>
    <col min="4" max="4" width="9" style="33"/>
    <col min="5" max="5" width="10.125" style="59" bestFit="1" customWidth="1"/>
    <col min="6" max="6" width="6" bestFit="1" customWidth="1"/>
    <col min="7" max="7" width="10.125" bestFit="1" customWidth="1"/>
    <col min="8" max="8" width="11.875" bestFit="1" customWidth="1"/>
    <col min="10" max="10" width="12.5" bestFit="1" customWidth="1"/>
    <col min="11" max="11" width="17.25" customWidth="1"/>
    <col min="12" max="12" width="13.625" bestFit="1" customWidth="1"/>
    <col min="13" max="13" width="13.625" customWidth="1"/>
    <col min="14" max="15" width="9.875" bestFit="1" customWidth="1"/>
    <col min="17" max="17" width="12.5" bestFit="1" customWidth="1"/>
    <col min="18" max="18" width="11" bestFit="1" customWidth="1"/>
    <col min="19" max="19" width="13.625" bestFit="1" customWidth="1"/>
    <col min="20" max="20" width="9.875" bestFit="1" customWidth="1"/>
    <col min="21" max="21" width="10.25" bestFit="1" customWidth="1"/>
  </cols>
  <sheetData>
    <row r="1" spans="1:22" ht="16.5" thickBot="1" x14ac:dyDescent="0.3">
      <c r="A1" s="72" t="s">
        <v>0</v>
      </c>
      <c r="B1" s="72" t="s">
        <v>1</v>
      </c>
      <c r="C1" s="72" t="s">
        <v>2</v>
      </c>
      <c r="D1" s="73" t="s">
        <v>3</v>
      </c>
      <c r="E1" s="74" t="s">
        <v>4</v>
      </c>
      <c r="F1" s="72" t="s">
        <v>12</v>
      </c>
      <c r="G1" s="75" t="s">
        <v>19</v>
      </c>
      <c r="H1" s="75" t="s">
        <v>373</v>
      </c>
      <c r="I1" s="45"/>
      <c r="J1" s="164" t="s">
        <v>347</v>
      </c>
      <c r="K1" s="165"/>
      <c r="L1" s="165"/>
      <c r="M1" s="165"/>
      <c r="N1" s="165"/>
      <c r="O1" s="166"/>
      <c r="P1" s="33"/>
      <c r="Q1" s="167" t="s">
        <v>348</v>
      </c>
      <c r="R1" s="168"/>
      <c r="S1" s="168"/>
      <c r="T1" s="168"/>
      <c r="U1" s="169"/>
      <c r="V1" s="33"/>
    </row>
    <row r="2" spans="1:22" ht="24.75" thickBot="1" x14ac:dyDescent="0.3">
      <c r="A2" s="157" t="s">
        <v>224</v>
      </c>
      <c r="B2" s="157" t="s">
        <v>51</v>
      </c>
      <c r="C2" s="157">
        <v>-26.5</v>
      </c>
      <c r="D2" s="157" t="b">
        <v>1</v>
      </c>
      <c r="E2" s="159">
        <v>0.99750000000000005</v>
      </c>
      <c r="F2" s="147" t="s">
        <v>15</v>
      </c>
      <c r="G2" s="158">
        <v>46005</v>
      </c>
      <c r="H2" s="62" cm="1">
        <f t="array" ref="H2">_xlfn.IFS(E2 = 1,$L$3,E2&gt;=0.99,$L$4, E2&gt;=0.95,$L$5, E2&gt;= 0.93, $L$6, E2&gt;= 0.9,$L$7, E2&gt;= 0.85,$L$8, E2&gt;= 0.8,$L$9, E2&gt;= 0.75,$L$10, E2 &gt;= 0.7, $L$11, E2&gt;= 0.65, $L$12, E2&gt;= 0.6, $L$13, E2&gt;= 0.55,$L$14, E2 &gt;= 0.5,$L$15)</f>
        <v>0.484375</v>
      </c>
      <c r="I2" s="49"/>
      <c r="J2" s="132" t="s">
        <v>264</v>
      </c>
      <c r="K2" s="133" t="s">
        <v>265</v>
      </c>
      <c r="L2" s="133" t="s">
        <v>266</v>
      </c>
      <c r="M2" s="133" t="s">
        <v>380</v>
      </c>
      <c r="N2" s="134" t="s">
        <v>268</v>
      </c>
      <c r="O2" s="135" t="s">
        <v>269</v>
      </c>
      <c r="P2" s="33"/>
      <c r="Q2" s="29" t="s">
        <v>264</v>
      </c>
      <c r="R2" s="29" t="s">
        <v>265</v>
      </c>
      <c r="S2" s="29" t="s">
        <v>266</v>
      </c>
      <c r="T2" s="30" t="s">
        <v>268</v>
      </c>
      <c r="U2" s="30" t="s">
        <v>269</v>
      </c>
      <c r="V2" s="33"/>
    </row>
    <row r="3" spans="1:22" ht="24.75" thickBot="1" x14ac:dyDescent="0.35">
      <c r="A3" s="157" t="s">
        <v>179</v>
      </c>
      <c r="B3" s="157" t="s">
        <v>124</v>
      </c>
      <c r="C3" s="157">
        <v>-18.5</v>
      </c>
      <c r="D3" s="157" t="b">
        <v>1</v>
      </c>
      <c r="E3" s="159">
        <v>0.99</v>
      </c>
      <c r="F3" s="147" t="s">
        <v>15</v>
      </c>
      <c r="G3" s="158">
        <v>46005</v>
      </c>
      <c r="H3" s="62" cm="1">
        <f t="array" ref="H3">_xlfn.IFS(E3 = 1,$L$3,E3&gt;=0.99,$L$4, E3&gt;=0.95,$L$5, E3&gt;= 0.93, $L$6, E3&gt;= 0.9,$L$7, E3&gt;= 0.85,$L$8, E3&gt;= 0.8,$L$9, E3&gt;= 0.75,$L$10, E3 &gt;= 0.7, $L$11, E3&gt;= 0.65, $L$12, E3&gt;= 0.6, $L$13, E3&gt;= 0.55,$L$14, E3 &gt;= 0.5,$L$15)</f>
        <v>0.484375</v>
      </c>
      <c r="I3" s="48"/>
      <c r="J3" s="129">
        <v>1</v>
      </c>
      <c r="K3" s="124" t="str">
        <f>COUNTIFS(E:E,1,F:F,"Y") &amp; "-" &amp; COUNTIFS(E:E,1,F:F,"N")</f>
        <v>37-29</v>
      </c>
      <c r="L3" s="15">
        <f>IFERROR(LEFT(K3,2)/SUM(LEFT(K3,2),RIGHT(K3,2)), "NA")</f>
        <v>0.56060606060606055</v>
      </c>
      <c r="M3" s="38" t="str">
        <f ca="1">COUNTIFS(G:G,"&gt;="&amp;TODAY()-10,E:E,"=1",F:F,"Y")&amp; "-" &amp; COUNTIFS(G:G,"&gt;="&amp;TODAY()-10,E:E,"=1",F:F,"N")</f>
        <v>9-2</v>
      </c>
      <c r="N3" s="130">
        <v>5</v>
      </c>
      <c r="O3" s="131">
        <f>N3*(LEFT(K3,2)-(1.1*RIGHT(K3,2)))</f>
        <v>25.499999999999989</v>
      </c>
      <c r="P3" s="33"/>
      <c r="Q3" s="28">
        <v>1</v>
      </c>
      <c r="R3" s="18" t="s">
        <v>298</v>
      </c>
      <c r="S3" s="8">
        <v>0.8</v>
      </c>
      <c r="T3" s="26">
        <v>5</v>
      </c>
      <c r="U3" s="24">
        <v>29</v>
      </c>
      <c r="V3" s="33"/>
    </row>
    <row r="4" spans="1:22" ht="24.75" thickBot="1" x14ac:dyDescent="0.35">
      <c r="A4" s="157" t="s">
        <v>292</v>
      </c>
      <c r="B4" s="157" t="s">
        <v>205</v>
      </c>
      <c r="C4" s="157">
        <v>-14.5</v>
      </c>
      <c r="D4" s="157" t="b">
        <v>1</v>
      </c>
      <c r="E4" s="159">
        <v>0.98499999999999999</v>
      </c>
      <c r="F4" s="147" t="s">
        <v>18</v>
      </c>
      <c r="G4" s="158">
        <v>46005</v>
      </c>
      <c r="H4" s="62" cm="1">
        <f t="array" ref="H4">_xlfn.IFS(E4 = 1,$L$3,E4&gt;=0.99,$L$4, E4&gt;=0.95,$L$5, E4&gt;= 0.93, $L$6, E4&gt;= 0.9,$L$7, E4&gt;= 0.85,$L$8, E4&gt;= 0.8,$L$9, E4&gt;= 0.75,$L$10, E4 &gt;= 0.7, $L$11, E4&gt;= 0.65, $L$12, E4&gt;= 0.6, $L$13, E4&gt;= 0.55,$L$14, E4 &gt;= 0.5,$L$15)</f>
        <v>0.4838709677419355</v>
      </c>
      <c r="I4" s="48"/>
      <c r="J4" s="128" t="s">
        <v>263</v>
      </c>
      <c r="K4" s="124" t="str">
        <f>COUNTIFS(E:E,"&gt;=.99",E:E,"&lt;1",F:F,"Y") &amp; "-" &amp; COUNTIFS(E:E,"&gt;=.99",E:E,"&lt;1",F:F,"N")</f>
        <v>62-66</v>
      </c>
      <c r="L4" s="8">
        <f>IFERROR(LEFT(K4,2)/SUM(LEFT(K4,2),RIGHT(K4,2)), "NA")</f>
        <v>0.484375</v>
      </c>
      <c r="M4" s="38" t="str">
        <f ca="1">COUNTIFS(G:G,"&gt;="&amp;TODAY()-10,E:E,"&gt;=0.99",E:E,"&lt;1",F:F,"Y") &amp; "-" &amp; COUNTIFS(G:G,"&gt;="&amp;TODAY()-10,E:E,"&gt;=0.99",E:E,"&lt;1",F:F,"N")</f>
        <v>22-13</v>
      </c>
      <c r="N4" s="26">
        <v>1</v>
      </c>
      <c r="O4" s="24">
        <f>N4*(LEFT(K4,2)-(1.1*RIGHT(K4,2)))</f>
        <v>-10.600000000000009</v>
      </c>
      <c r="P4" s="33"/>
      <c r="Q4" s="5" t="s">
        <v>263</v>
      </c>
      <c r="R4" s="18" t="s">
        <v>299</v>
      </c>
      <c r="S4" s="8">
        <v>0.56666666666666665</v>
      </c>
      <c r="T4" s="26">
        <v>2</v>
      </c>
      <c r="U4" s="24">
        <v>5.3999999999999986</v>
      </c>
      <c r="V4" s="33"/>
    </row>
    <row r="5" spans="1:22" ht="24.75" thickBot="1" x14ac:dyDescent="0.35">
      <c r="A5" s="157" t="s">
        <v>175</v>
      </c>
      <c r="B5" s="157" t="s">
        <v>202</v>
      </c>
      <c r="C5" s="157">
        <v>-7.5</v>
      </c>
      <c r="D5" s="157" t="b">
        <v>1</v>
      </c>
      <c r="E5" s="159">
        <v>0.96250000000000002</v>
      </c>
      <c r="F5" s="147" t="s">
        <v>18</v>
      </c>
      <c r="G5" s="158">
        <v>46005</v>
      </c>
      <c r="H5" s="62" cm="1">
        <f t="array" ref="H5">_xlfn.IFS(E5 = 1,$L$3,E5&gt;=0.99,$L$4, E5&gt;=0.95,$L$5, E5&gt;= 0.93, $L$6, E5&gt;= 0.9,$L$7, E5&gt;= 0.85,$L$8, E5&gt;= 0.8,$L$9, E5&gt;= 0.75,$L$10, E5 &gt;= 0.7, $L$11, E5&gt;= 0.65, $L$12, E5&gt;= 0.6, $L$13, E5&gt;= 0.55,$L$14, E5 &gt;= 0.5,$L$15)</f>
        <v>0.4838709677419355</v>
      </c>
      <c r="I5" s="48"/>
      <c r="J5" s="128" t="s">
        <v>135</v>
      </c>
      <c r="K5" s="125" t="str">
        <f>COUNTIFS(E:E,"&gt;=.95",E:E,"&lt;0.99",F:F,"Y") &amp; "-" &amp; COUNTIFS(E:E,"&gt;=.95",E:E,"&lt;0.99",F:F,"N")</f>
        <v>45-48</v>
      </c>
      <c r="L5" s="8">
        <f>IFERROR(LEFT(K5,2)/SUM(LEFT(K5,2),RIGHT(K5,2)), "NA")</f>
        <v>0.4838709677419355</v>
      </c>
      <c r="M5" s="38" t="str">
        <f ca="1">COUNTIFS(G:G,"&gt;="&amp;TODAY()-10,E:E,"&gt;=0.95",E:E,"&lt;.99",F:F,"Y") &amp; "-" &amp; COUNTIFS(G:G,"&gt;="&amp;TODAY()-10,E:E,"&gt;=0.95",E:E,"&lt;.99",F:F,"N")</f>
        <v>15-12</v>
      </c>
      <c r="N5" s="26">
        <v>0.5</v>
      </c>
      <c r="O5" s="24">
        <f>N5*(LEFT(K5,2)-(1.1*RIGHT(K5,2)))</f>
        <v>-3.9000000000000021</v>
      </c>
      <c r="P5" s="33"/>
      <c r="Q5" s="6" t="s">
        <v>135</v>
      </c>
      <c r="R5" s="38" t="s">
        <v>300</v>
      </c>
      <c r="S5" s="8">
        <v>0.5</v>
      </c>
      <c r="T5" s="26">
        <v>0.5</v>
      </c>
      <c r="U5" s="24">
        <v>-1.0500000000000007</v>
      </c>
      <c r="V5" s="33"/>
    </row>
    <row r="6" spans="1:22" ht="24.75" thickBot="1" x14ac:dyDescent="0.35">
      <c r="A6" s="157" t="s">
        <v>206</v>
      </c>
      <c r="B6" s="157" t="s">
        <v>82</v>
      </c>
      <c r="C6" s="157">
        <v>-6.5</v>
      </c>
      <c r="D6" s="157" t="b">
        <v>1</v>
      </c>
      <c r="E6" s="159">
        <v>0.92</v>
      </c>
      <c r="F6" s="147" t="s">
        <v>15</v>
      </c>
      <c r="G6" s="158">
        <v>46005</v>
      </c>
      <c r="H6" s="62" cm="1">
        <f t="array" ref="H6">_xlfn.IFS(E6 = 1,$L$3,E6&gt;=0.99,$L$4, E6&gt;=0.95,$L$5, E6&gt;= 0.93, $L$6, E6&gt;= 0.9,$L$7, E6&gt;= 0.85,$L$8, E6&gt;= 0.8,$L$9, E6&gt;= 0.75,$L$10, E6 &gt;= 0.7, $L$11, E6&gt;= 0.65, $L$12, E6&gt;= 0.6, $L$13, E6&gt;= 0.55,$L$14, E6 &gt;= 0.5,$L$15)</f>
        <v>0.55172413793103448</v>
      </c>
      <c r="I6" s="48"/>
      <c r="J6" s="128" t="s">
        <v>136</v>
      </c>
      <c r="K6" s="125" t="str">
        <f>COUNTIFS(E:E,"&gt;=.93",E:E,"&lt;0.95",F:F,"Y") &amp; "-" &amp; COUNTIFS(E:E,"&gt;=.93",E:E,"&lt;0.95",F:F,"N")</f>
        <v>5-12</v>
      </c>
      <c r="L6" s="8">
        <f>IFERROR(LEFT(K6)/SUM(LEFT(K6),RIGHT(K6,2)), "NA")</f>
        <v>0.29411764705882354</v>
      </c>
      <c r="M6" s="38" t="str">
        <f ca="1">COUNTIFS(G:G,"&gt;="&amp;TODAY()-10,E:E,"&gt;=0.93",E:E,"&lt;0.95",F:F,"Y") &amp; "-" &amp; COUNTIFS(G:G,"&gt;="&amp;TODAY()-10,E:E,"&gt;=0.93",E:E,"&lt;0.95",F:F,"N")</f>
        <v>1-2</v>
      </c>
      <c r="N6" s="26">
        <v>1</v>
      </c>
      <c r="O6" s="24">
        <f>N6*(LEFT(K6,1)-(1.1*RIGHT(K6,2)))</f>
        <v>-8.2000000000000011</v>
      </c>
      <c r="P6" s="33"/>
      <c r="Q6" s="6" t="s">
        <v>136</v>
      </c>
      <c r="R6" s="16" t="s">
        <v>301</v>
      </c>
      <c r="S6" s="8">
        <v>0.42857142857142855</v>
      </c>
      <c r="T6" s="26">
        <v>1.5</v>
      </c>
      <c r="U6" s="24">
        <v>-6.3000000000000016</v>
      </c>
      <c r="V6" s="33"/>
    </row>
    <row r="7" spans="1:22" ht="24.75" thickBot="1" x14ac:dyDescent="0.35">
      <c r="A7" s="157" t="s">
        <v>280</v>
      </c>
      <c r="B7" s="157" t="s">
        <v>193</v>
      </c>
      <c r="C7" s="157">
        <v>-19.5</v>
      </c>
      <c r="D7" s="157" t="b">
        <v>1</v>
      </c>
      <c r="E7" s="159">
        <v>0.90249999999999997</v>
      </c>
      <c r="F7" s="147" t="s">
        <v>15</v>
      </c>
      <c r="G7" s="158">
        <v>46005</v>
      </c>
      <c r="H7" s="62" cm="1">
        <f t="array" ref="H7">_xlfn.IFS(E7 = 1,$L$3,E7&gt;=0.99,$L$4, E7&gt;=0.95,$L$5, E7&gt;= 0.93, $L$6, E7&gt;= 0.9,$L$7, E7&gt;= 0.85,$L$8, E7&gt;= 0.8,$L$9, E7&gt;= 0.75,$L$10, E7 &gt;= 0.7, $L$11, E7&gt;= 0.65, $L$12, E7&gt;= 0.6, $L$13, E7&gt;= 0.55,$L$14, E7 &gt;= 0.5,$L$15)</f>
        <v>0.55172413793103448</v>
      </c>
      <c r="I7" s="48"/>
      <c r="J7" s="128" t="s">
        <v>137</v>
      </c>
      <c r="K7" s="126" t="str">
        <f>COUNTIFS(E:E,"&gt;=.90",E:E,"&lt;0.93",F:F,"Y") &amp; "-" &amp; COUNTIFS(E:E,"&gt;=.90",E:E,"&lt;0.93",F:F,"N")</f>
        <v>16-13</v>
      </c>
      <c r="L7" s="8">
        <f>IFERROR(LEFT(K7,2)/SUM(LEFT(K7,2),RIGHT(K7,2)), "NA")</f>
        <v>0.55172413793103448</v>
      </c>
      <c r="M7" s="38" t="str">
        <f ca="1">COUNTIFS(G:G,"&gt;="&amp;TODAY()-10,E:E,"&gt;=0.9",E:E,"&lt;.93",F:F,"Y") &amp; "-" &amp; COUNTIFS(G:G,"&gt;="&amp;TODAY()-10,E:E,"&gt;=0.9",E:E,"&lt;.93",F:F,"N")</f>
        <v>7-6</v>
      </c>
      <c r="N7" s="26">
        <v>2.5</v>
      </c>
      <c r="O7" s="24">
        <f>N7*(LEFT(K7,2)-(1.1*RIGHT(K7,2)))</f>
        <v>4.2499999999999982</v>
      </c>
      <c r="P7" s="33"/>
      <c r="Q7" s="6" t="s">
        <v>137</v>
      </c>
      <c r="R7" s="18" t="s">
        <v>302</v>
      </c>
      <c r="S7" s="8">
        <v>0.6875</v>
      </c>
      <c r="T7" s="26">
        <v>3</v>
      </c>
      <c r="U7" s="24">
        <v>-13.5</v>
      </c>
      <c r="V7" s="33"/>
    </row>
    <row r="8" spans="1:22" ht="24.75" thickBot="1" x14ac:dyDescent="0.35">
      <c r="A8" s="157" t="s">
        <v>295</v>
      </c>
      <c r="B8" s="157" t="s">
        <v>75</v>
      </c>
      <c r="C8" s="157">
        <v>-7.5</v>
      </c>
      <c r="D8" s="157" t="b">
        <v>1</v>
      </c>
      <c r="E8" s="159">
        <v>0.88500000000000001</v>
      </c>
      <c r="F8" s="147" t="s">
        <v>18</v>
      </c>
      <c r="G8" s="158">
        <v>46005</v>
      </c>
      <c r="H8" s="62" cm="1">
        <f t="array" ref="H8">_xlfn.IFS(E8 = 1,$L$3,E8&gt;=0.99,$L$4, E8&gt;=0.95,$L$5, E8&gt;= 0.93, $L$6, E8&gt;= 0.9,$L$7, E8&gt;= 0.85,$L$8, E8&gt;= 0.8,$L$9, E8&gt;= 0.75,$L$10, E8 &gt;= 0.7, $L$11, E8&gt;= 0.65, $L$12, E8&gt;= 0.6, $L$13, E8&gt;= 0.55,$L$14, E8 &gt;= 0.5,$L$15)</f>
        <v>0.61290322580645162</v>
      </c>
      <c r="I8" s="48"/>
      <c r="J8" s="128" t="s">
        <v>138</v>
      </c>
      <c r="K8" s="126" t="str">
        <f>COUNTIFS(E:E,"&gt;=.85",E:E,"&lt;0.90",F:F,"Y") &amp; "-" &amp; COUNTIFS(E:E,"&gt;=.85",E:E,"&lt;0.90",F:F,"N")</f>
        <v>19-12</v>
      </c>
      <c r="L8" s="8">
        <f>IFERROR(LEFT(K8,2)/SUM(LEFT(K8,2),RIGHT(K8,2)), "NA")</f>
        <v>0.61290322580645162</v>
      </c>
      <c r="M8" s="38" t="str">
        <f ca="1">COUNTIFS(G:G,"&gt;="&amp;TODAY()-10,E:E,"&gt;=0.85",E:E,"&lt;0.90",F:F,"Y")&amp; "-" &amp; COUNTIFS(G:G,"&gt;="&amp;TODAY()-10,E:E,"&gt;=0.85",E:E,"&lt;0.90",F:F,"N")</f>
        <v>6-4</v>
      </c>
      <c r="N8" s="26">
        <v>2.5</v>
      </c>
      <c r="O8" s="24">
        <f>N8*(LEFT(K8,2)-(1.1*RIGHT(K8,1)))</f>
        <v>42</v>
      </c>
      <c r="P8" s="33"/>
      <c r="Q8" s="6" t="s">
        <v>138</v>
      </c>
      <c r="R8" s="16" t="s">
        <v>303</v>
      </c>
      <c r="S8" s="8">
        <v>0.3</v>
      </c>
      <c r="T8" s="26">
        <v>3</v>
      </c>
      <c r="U8" s="24">
        <v>56.400000000000013</v>
      </c>
      <c r="V8" s="33" t="s">
        <v>350</v>
      </c>
    </row>
    <row r="9" spans="1:22" ht="24.75" thickBot="1" x14ac:dyDescent="0.35">
      <c r="A9" s="157" t="s">
        <v>97</v>
      </c>
      <c r="B9" s="157" t="s">
        <v>231</v>
      </c>
      <c r="C9" s="157">
        <v>-5.5</v>
      </c>
      <c r="D9" s="157" t="b">
        <v>1</v>
      </c>
      <c r="E9" s="159">
        <v>0.83750000000000002</v>
      </c>
      <c r="F9" s="147" t="s">
        <v>15</v>
      </c>
      <c r="G9" s="158">
        <v>46005</v>
      </c>
      <c r="H9" s="62" cm="1">
        <f t="array" ref="H9">_xlfn.IFS(E9 = 1,$L$3,E9&gt;=0.99,$L$4, E9&gt;=0.95,$L$5, E9&gt;= 0.93, $L$6, E9&gt;= 0.9,$L$7, E9&gt;= 0.85,$L$8, E9&gt;= 0.8,$L$9, E9&gt;= 0.75,$L$10, E9 &gt;= 0.7, $L$11, E9&gt;= 0.65, $L$12, E9&gt;= 0.6, $L$13, E9&gt;= 0.55,$L$14, E9 &gt;= 0.5,$L$15)</f>
        <v>0.54166666666666663</v>
      </c>
      <c r="I9" s="48"/>
      <c r="J9" s="128" t="s">
        <v>139</v>
      </c>
      <c r="K9" s="126" t="str">
        <f>COUNTIFS(E:E,"&gt;=.80",E:E,"&lt;0.85",F:F,"Y") &amp; "-" &amp; COUNTIFS(E:E,"&gt;=.80",E:E,"&lt;0.85",F:F,"N")</f>
        <v>13-11</v>
      </c>
      <c r="L9" s="8">
        <f>IFERROR(LEFT(K9,2)/SUM(LEFT(K9,2),RIGHT(K9,2)), "NA")</f>
        <v>0.54166666666666663</v>
      </c>
      <c r="M9" s="38" t="str">
        <f ca="1">COUNTIFS(G:G,"&gt;="&amp;TODAY()-10,E:E,"&gt;=0.80",E:E,"&lt;0.85",F:F,"Y")&amp; "-" &amp; COUNTIFS(G:G,"&gt;="&amp;TODAY()-10,E:E,"&gt;=0.80",E:E,"&lt;0.85",F:F,"N")</f>
        <v>7-4</v>
      </c>
      <c r="N9" s="26">
        <v>1</v>
      </c>
      <c r="O9" s="24">
        <f>N9*(LEFT(K9,2)-(1.1*RIGHT(K9,1)))</f>
        <v>11.9</v>
      </c>
      <c r="P9" s="33"/>
      <c r="Q9" s="6" t="s">
        <v>139</v>
      </c>
      <c r="R9" s="16" t="s">
        <v>304</v>
      </c>
      <c r="S9" s="8">
        <v>0.47222222222222221</v>
      </c>
      <c r="T9" s="26">
        <v>0.5</v>
      </c>
      <c r="U9" s="24">
        <v>-1.9500000000000011</v>
      </c>
      <c r="V9" s="33"/>
    </row>
    <row r="10" spans="1:22" ht="24.75" thickBot="1" x14ac:dyDescent="0.35">
      <c r="A10" s="157" t="s">
        <v>296</v>
      </c>
      <c r="B10" s="157" t="s">
        <v>233</v>
      </c>
      <c r="C10" s="157">
        <v>-4.5</v>
      </c>
      <c r="D10" s="157" t="b">
        <v>1</v>
      </c>
      <c r="E10" s="159">
        <v>0.64</v>
      </c>
      <c r="F10" s="147" t="s">
        <v>18</v>
      </c>
      <c r="G10" s="158">
        <v>46005</v>
      </c>
      <c r="H10" s="62" cm="1">
        <f t="array" ref="H10">_xlfn.IFS(E10 = 1,$L$3,E10&gt;=0.99,$L$4, E10&gt;=0.95,$L$5, E10&gt;= 0.93, $L$6, E10&gt;= 0.9,$L$7, E10&gt;= 0.85,$L$8, E10&gt;= 0.8,$L$9, E10&gt;= 0.75,$L$10, E10 &gt;= 0.7, $L$11, E10&gt;= 0.65, $L$12, E10&gt;= 0.6, $L$13, E10&gt;= 0.55,$L$14, E10 &gt;= 0.5,$L$15)</f>
        <v>0.6875</v>
      </c>
      <c r="I10" s="48"/>
      <c r="J10" s="128" t="s">
        <v>140</v>
      </c>
      <c r="K10" s="125" t="str">
        <f>COUNTIFS(E:E,"&gt;=.75",E:E,"&lt;0.80",F:F,"Y") &amp; "-" &amp; COUNTIFS(E:E,"&gt;=.75",E:E,"&lt;0.80",F:F,"N")</f>
        <v>8-11</v>
      </c>
      <c r="L10" s="8">
        <f>IFERROR(LEFT(K10)/SUM(LEFT(K10),RIGHT(K10,2)), "NA")</f>
        <v>0.42105263157894735</v>
      </c>
      <c r="M10" s="38" t="str">
        <f ca="1">COUNTIFS(G:G,"&gt;="&amp;TODAY()-10,E:E,"&gt;=0.75",E:E,"&lt;0.80",F:F,"Y")&amp; "-" &amp; COUNTIFS(G:G,"&gt;="&amp;TODAY()-10,E:E,"&gt;=0.75",E:E,"&lt;0.80",F:F,"N")</f>
        <v>0-3</v>
      </c>
      <c r="N10" s="26">
        <v>1</v>
      </c>
      <c r="O10" s="24">
        <f>N10*(LEFT(K10,1)-(1.1*RIGHT(K10,2)))</f>
        <v>-4.1000000000000014</v>
      </c>
      <c r="P10" s="33"/>
      <c r="Q10" s="6" t="s">
        <v>140</v>
      </c>
      <c r="R10" s="18" t="s">
        <v>305</v>
      </c>
      <c r="S10" s="8">
        <v>0.61538461538461542</v>
      </c>
      <c r="T10" s="26">
        <v>1.5</v>
      </c>
      <c r="U10" s="24">
        <v>3.75</v>
      </c>
      <c r="V10" s="33"/>
    </row>
    <row r="11" spans="1:22" ht="24.75" thickBot="1" x14ac:dyDescent="0.35">
      <c r="A11" s="149" t="s">
        <v>337</v>
      </c>
      <c r="B11" s="149" t="s">
        <v>194</v>
      </c>
      <c r="C11" s="149">
        <v>-35</v>
      </c>
      <c r="D11" s="149" t="b">
        <v>1</v>
      </c>
      <c r="E11" s="151">
        <v>1</v>
      </c>
      <c r="F11" s="147" t="s">
        <v>15</v>
      </c>
      <c r="G11" s="150">
        <v>46004</v>
      </c>
      <c r="H11" s="62" cm="1">
        <f t="array" ref="H11">_xlfn.IFS(E11 = 1,$L$3,E11&gt;=0.99,$L$4, E11&gt;=0.95,$L$5, E11&gt;= 0.93, $L$6, E11&gt;= 0.9,$L$7, E11&gt;= 0.85,$L$8, E11&gt;= 0.8,$L$9, E11&gt;= 0.75,$L$10, E11 &gt;= 0.7, $L$11, E11&gt;= 0.65, $L$12, E11&gt;= 0.6, $L$13, E11&gt;= 0.55,$L$14, E11 &gt;= 0.5,$L$15)</f>
        <v>0.56060606060606055</v>
      </c>
      <c r="I11" s="48"/>
      <c r="J11" s="128" t="s">
        <v>141</v>
      </c>
      <c r="K11" s="126" t="str">
        <f>COUNTIFS(E:E,"&gt;=.70",E:E,"&lt;0.75",F:F,"Y") &amp; "-" &amp; COUNTIFS(E:E,"&gt;=.70",E:E,"&lt;0.75",F:F,"N")</f>
        <v>10-5</v>
      </c>
      <c r="L11" s="8">
        <f>IFERROR(LEFT(K11,2)/SUM(LEFT(K11,2),RIGHT(K11)), "NA")</f>
        <v>0.66666666666666663</v>
      </c>
      <c r="M11" s="38" t="str">
        <f ca="1">COUNTIFS(G:G,"&gt;="&amp;TODAY()-10,E:E,"&gt;=0.70",E:E,"&lt;0.75",F:F,"Y")&amp; "-" &amp; COUNTIFS(G:G,"&gt;="&amp;TODAY()-10,E:E,"&gt;=0.70",E:E,"&lt;0.75",F:F,"N")</f>
        <v>4-1</v>
      </c>
      <c r="N11" s="26">
        <v>1</v>
      </c>
      <c r="O11" s="24">
        <f>N11*(LEFT(K11,2)-(1.1*RIGHT(K11,1)))</f>
        <v>4.5</v>
      </c>
      <c r="P11" s="33"/>
      <c r="Q11" s="6" t="s">
        <v>141</v>
      </c>
      <c r="R11" s="16" t="s">
        <v>306</v>
      </c>
      <c r="S11" s="8">
        <v>0.45</v>
      </c>
      <c r="T11" s="26">
        <v>1</v>
      </c>
      <c r="U11" s="24">
        <v>7.9</v>
      </c>
      <c r="V11" s="33"/>
    </row>
    <row r="12" spans="1:22" ht="24.75" thickBot="1" x14ac:dyDescent="0.35">
      <c r="A12" s="149" t="s">
        <v>68</v>
      </c>
      <c r="B12" s="149" t="s">
        <v>216</v>
      </c>
      <c r="C12" s="149">
        <v>-13.5</v>
      </c>
      <c r="D12" s="149" t="b">
        <v>1</v>
      </c>
      <c r="E12" s="151">
        <v>1</v>
      </c>
      <c r="F12" s="147" t="s">
        <v>15</v>
      </c>
      <c r="G12" s="150">
        <v>46004</v>
      </c>
      <c r="H12" s="62" cm="1">
        <f t="array" ref="H12">_xlfn.IFS(E12 = 1,$L$3,E12&gt;=0.99,$L$4, E12&gt;=0.95,$L$5, E12&gt;= 0.93, $L$6, E12&gt;= 0.9,$L$7, E12&gt;= 0.85,$L$8, E12&gt;= 0.8,$L$9, E12&gt;= 0.75,$L$10, E12 &gt;= 0.7, $L$11, E12&gt;= 0.65, $L$12, E12&gt;= 0.6, $L$13, E12&gt;= 0.55,$L$14, E12 &gt;= 0.5,$L$15)</f>
        <v>0.56060606060606055</v>
      </c>
      <c r="I12" s="48"/>
      <c r="J12" s="128" t="s">
        <v>142</v>
      </c>
      <c r="K12" s="125" t="str">
        <f>COUNTIFS(E:E,"&gt;=.65",E:E,"&lt;0.70",F:F,"Y") &amp; "-" &amp; COUNTIFS(E:E,"&gt;=.65",E:E,"&lt;0.70",F:F,"N")</f>
        <v>9-13</v>
      </c>
      <c r="L12" s="8">
        <f>IFERROR(LEFT(K12)/SUM(LEFT(K12),RIGHT(K12,2)), "NA")</f>
        <v>0.40909090909090912</v>
      </c>
      <c r="M12" s="38" t="str">
        <f ca="1">COUNTIFS(G:G,"&gt;="&amp;TODAY()-10,E:E,"&gt;=0.65",E:E,"&lt;0.70",F:F,"Y")&amp; "-" &amp; COUNTIFS(G:G,"&gt;="&amp;TODAY()-10,E:E,"&gt;=0.65",E:E,"&lt;0.70",F:F,"N")</f>
        <v>3-4</v>
      </c>
      <c r="N12" s="26">
        <v>2.5</v>
      </c>
      <c r="O12" s="24">
        <f>N12*(RIGHT(K12,2)-(1.1*LEFT(K12,1)))</f>
        <v>7.7499999999999991</v>
      </c>
      <c r="P12" s="33"/>
      <c r="Q12" s="6" t="s">
        <v>142</v>
      </c>
      <c r="R12" s="18" t="s">
        <v>307</v>
      </c>
      <c r="S12" s="8">
        <v>0.72727272727272729</v>
      </c>
      <c r="T12" s="26">
        <v>3</v>
      </c>
      <c r="U12" s="24">
        <v>28.199999999999996</v>
      </c>
      <c r="V12" s="33"/>
    </row>
    <row r="13" spans="1:22" ht="24.75" thickBot="1" x14ac:dyDescent="0.35">
      <c r="A13" s="149" t="s">
        <v>322</v>
      </c>
      <c r="B13" s="149" t="s">
        <v>262</v>
      </c>
      <c r="C13" s="149">
        <v>-16.5</v>
      </c>
      <c r="D13" s="149" t="b">
        <v>1</v>
      </c>
      <c r="E13" s="151">
        <v>1</v>
      </c>
      <c r="F13" s="147" t="s">
        <v>15</v>
      </c>
      <c r="G13" s="150">
        <v>46004</v>
      </c>
      <c r="H13" s="62" cm="1">
        <f t="array" ref="H13">_xlfn.IFS(E13 = 1,$L$3,E13&gt;=0.99,$L$4, E13&gt;=0.95,$L$5, E13&gt;= 0.93, $L$6, E13&gt;= 0.9,$L$7, E13&gt;= 0.85,$L$8, E13&gt;= 0.8,$L$9, E13&gt;= 0.75,$L$10, E13 &gt;= 0.7, $L$11, E13&gt;= 0.65, $L$12, E13&gt;= 0.6, $L$13, E13&gt;= 0.55,$L$14, E13 &gt;= 0.5,$L$15)</f>
        <v>0.56060606060606055</v>
      </c>
      <c r="I13" s="48"/>
      <c r="J13" s="128" t="s">
        <v>143</v>
      </c>
      <c r="K13" s="126" t="str">
        <f>COUNTIFS(E:E,"&gt;=.60",E:E,"&lt;0.65",F:F,"Y") &amp; "-" &amp; COUNTIFS(E:E,"&gt;=.60",E:E,"&lt;0.65",F:F,"N")</f>
        <v>11-5</v>
      </c>
      <c r="L13" s="8">
        <f>IFERROR(LEFT(K13,2)/SUM(LEFT(K13,2),RIGHT(K13)), "NA")</f>
        <v>0.6875</v>
      </c>
      <c r="M13" s="38" t="str">
        <f ca="1">COUNTIFS(G:G,"&gt;="&amp;TODAY()-10,E:E,"&gt;=0.60",E:E,"&lt;0.65",F:F,"Y")&amp; "-" &amp; COUNTIFS(G:G,"&gt;="&amp;TODAY()-10,E:E,"&gt;=0.60",E:E,"&lt;0.65",F:F,"N")</f>
        <v>2-1</v>
      </c>
      <c r="N13" s="26">
        <v>0.5</v>
      </c>
      <c r="O13" s="24">
        <f>N13*(LEFT(K13,2)-(1.1*RIGHT(K13,1)))</f>
        <v>2.75</v>
      </c>
      <c r="P13" s="33"/>
      <c r="Q13" s="6" t="s">
        <v>143</v>
      </c>
      <c r="R13" s="16" t="s">
        <v>308</v>
      </c>
      <c r="S13" s="8">
        <v>0.47619047619047616</v>
      </c>
      <c r="T13" s="26">
        <v>0.5</v>
      </c>
      <c r="U13" s="24">
        <v>-1.0500000000000007</v>
      </c>
      <c r="V13" s="33"/>
    </row>
    <row r="14" spans="1:22" ht="24.75" thickBot="1" x14ac:dyDescent="0.35">
      <c r="A14" s="149" t="s">
        <v>367</v>
      </c>
      <c r="B14" s="149" t="s">
        <v>192</v>
      </c>
      <c r="C14" s="149">
        <v>-13.5</v>
      </c>
      <c r="D14" s="149" t="b">
        <v>1</v>
      </c>
      <c r="E14" s="151">
        <v>1</v>
      </c>
      <c r="F14" s="147" t="s">
        <v>15</v>
      </c>
      <c r="G14" s="150">
        <v>46004</v>
      </c>
      <c r="H14" s="62" cm="1">
        <f t="array" ref="H14">_xlfn.IFS(E14 = 1,$L$3,E14&gt;=0.99,$L$4, E14&gt;=0.95,$L$5, E14&gt;= 0.93, $L$6, E14&gt;= 0.9,$L$7, E14&gt;= 0.85,$L$8, E14&gt;= 0.8,$L$9, E14&gt;= 0.75,$L$10, E14 &gt;= 0.7, $L$11, E14&gt;= 0.65, $L$12, E14&gt;= 0.6, $L$13, E14&gt;= 0.55,$L$14, E14 &gt;= 0.5,$L$15)</f>
        <v>0.56060606060606055</v>
      </c>
      <c r="I14" s="49"/>
      <c r="J14" s="128" t="s">
        <v>144</v>
      </c>
      <c r="K14" s="127" t="str">
        <f>COUNTIFS(E:E,"&gt;=.55",E:E,"&lt;0.60",F:F,"Y") &amp; "-" &amp; COUNTIFS(E:E,"&gt;=.55",E:E,"&lt;0.60",F:F,"N")</f>
        <v>7-9</v>
      </c>
      <c r="L14" s="8">
        <f t="shared" ref="L14:L15" si="0">IFERROR(LEFT(K14)/SUM(LEFT(K14),RIGHT(K14)), "NA")</f>
        <v>0.4375</v>
      </c>
      <c r="M14" s="38" t="str">
        <f ca="1">COUNTIFS(G:G,"&gt;="&amp;TODAY()-10,E:E,"&gt;=0.55",E:E,"&lt;0.60",F:F,"Y")&amp; "-" &amp; COUNTIFS(G:G,"&gt;="&amp;TODAY()-10,E:E,"&gt;=0.55",E:E,"&lt;0.60",F:F,"N")</f>
        <v>1-2</v>
      </c>
      <c r="N14" s="26">
        <v>2</v>
      </c>
      <c r="O14" s="24">
        <f>N14*(LEFT(K14,1)-(1.1*RIGHT(K14,1)))</f>
        <v>-5.8000000000000007</v>
      </c>
      <c r="P14" s="33"/>
      <c r="Q14" s="6" t="s">
        <v>144</v>
      </c>
      <c r="R14" s="18" t="s">
        <v>309</v>
      </c>
      <c r="S14" s="8">
        <v>0.75</v>
      </c>
      <c r="T14" s="26">
        <v>2</v>
      </c>
      <c r="U14" s="24">
        <v>19</v>
      </c>
      <c r="V14" s="33"/>
    </row>
    <row r="15" spans="1:22" ht="24.75" thickBot="1" x14ac:dyDescent="0.35">
      <c r="A15" s="149" t="s">
        <v>282</v>
      </c>
      <c r="B15" s="149" t="s">
        <v>78</v>
      </c>
      <c r="C15" s="149">
        <v>-18.5</v>
      </c>
      <c r="D15" s="149" t="b">
        <v>1</v>
      </c>
      <c r="E15" s="151">
        <v>0.99750000000000005</v>
      </c>
      <c r="F15" s="147" t="s">
        <v>18</v>
      </c>
      <c r="G15" s="150">
        <v>46004</v>
      </c>
      <c r="H15" s="62" cm="1">
        <f t="array" ref="H15">_xlfn.IFS(E15 = 1,$L$3,E15&gt;=0.99,$L$4, E15&gt;=0.95,$L$5, E15&gt;= 0.93, $L$6, E15&gt;= 0.9,$L$7, E15&gt;= 0.85,$L$8, E15&gt;= 0.8,$L$9, E15&gt;= 0.75,$L$10, E15 &gt;= 0.7, $L$11, E15&gt;= 0.65, $L$12, E15&gt;= 0.6, $L$13, E15&gt;= 0.55,$L$14, E15 &gt;= 0.5,$L$15)</f>
        <v>0.484375</v>
      </c>
      <c r="I15" s="49"/>
      <c r="J15" s="128" t="s">
        <v>145</v>
      </c>
      <c r="K15" s="125" t="str">
        <f>COUNTIFS(E:E,"&gt;=.50",E:E,"&lt;0.55",F:F,"Y") &amp; "-" &amp; COUNTIFS(E:E,"&gt;=.50",E:E,"&lt;0.55",F:F,"N")</f>
        <v>5-8</v>
      </c>
      <c r="L15" s="8">
        <f t="shared" si="0"/>
        <v>0.38461538461538464</v>
      </c>
      <c r="M15" s="38" t="str">
        <f ca="1">COUNTIFS(G:G,"&gt;="&amp;TODAY()-10,E:E,"&gt;=0.50",E:E,"&lt;0.55",F:F,"Y")&amp; "-" &amp; COUNTIFS(G:G,"&gt;="&amp;TODAY()-10,E:E,"&gt;=0.50",E:E,"&lt;0.55",F:F,"N")</f>
        <v>1-3</v>
      </c>
      <c r="N15" s="26">
        <v>0.5</v>
      </c>
      <c r="O15" s="51">
        <f>N15*(LEFT(K15,1)-(1.1*RIGHT(K15,1)))</f>
        <v>-1.9000000000000004</v>
      </c>
      <c r="P15" s="33"/>
      <c r="Q15" s="7" t="s">
        <v>145</v>
      </c>
      <c r="R15" s="16" t="s">
        <v>310</v>
      </c>
      <c r="S15" s="8">
        <v>0.33333333333333331</v>
      </c>
      <c r="T15" s="26">
        <v>0.5</v>
      </c>
      <c r="U15" s="24">
        <v>-4.2000000000000011</v>
      </c>
      <c r="V15" s="33" t="s">
        <v>349</v>
      </c>
    </row>
    <row r="16" spans="1:22" ht="24" x14ac:dyDescent="0.3">
      <c r="A16" s="149" t="s">
        <v>49</v>
      </c>
      <c r="B16" s="149" t="s">
        <v>218</v>
      </c>
      <c r="C16" s="149">
        <v>-22.5</v>
      </c>
      <c r="D16" s="149" t="b">
        <v>1</v>
      </c>
      <c r="E16" s="151">
        <v>0.99750000000000005</v>
      </c>
      <c r="F16" s="147" t="s">
        <v>18</v>
      </c>
      <c r="G16" s="150">
        <v>46004</v>
      </c>
      <c r="H16" s="62" cm="1">
        <f t="array" ref="H16">_xlfn.IFS(E16 = 1,$L$3,E16&gt;=0.99,$L$4, E16&gt;=0.95,$L$5, E16&gt;= 0.93, $L$6, E16&gt;= 0.9,$L$7, E16&gt;= 0.85,$L$8, E16&gt;= 0.8,$L$9, E16&gt;= 0.75,$L$10, E16 &gt;= 0.7, $L$11, E16&gt;= 0.65, $L$12, E16&gt;= 0.6, $L$13, E16&gt;= 0.55,$L$14, E16 &gt;= 0.5,$L$15)</f>
        <v>0.484375</v>
      </c>
      <c r="I16" s="49"/>
      <c r="J16" s="33"/>
      <c r="K16" s="33"/>
      <c r="L16" s="33"/>
      <c r="M16" s="33"/>
      <c r="N16" s="33"/>
      <c r="O16" s="52"/>
      <c r="P16" s="33"/>
      <c r="Q16" s="33"/>
      <c r="R16" s="33"/>
      <c r="S16" s="33"/>
      <c r="T16" s="33"/>
      <c r="U16" s="33"/>
      <c r="V16" s="33"/>
    </row>
    <row r="17" spans="1:22" ht="24" x14ac:dyDescent="0.35">
      <c r="A17" s="149" t="s">
        <v>212</v>
      </c>
      <c r="B17" s="149" t="s">
        <v>219</v>
      </c>
      <c r="C17" s="149">
        <v>-16.5</v>
      </c>
      <c r="D17" s="149" t="b">
        <v>1</v>
      </c>
      <c r="E17" s="151">
        <v>0.99750000000000005</v>
      </c>
      <c r="F17" s="147" t="s">
        <v>18</v>
      </c>
      <c r="G17" s="150">
        <v>46004</v>
      </c>
      <c r="H17" s="62" cm="1">
        <f t="array" ref="H17">_xlfn.IFS(E17 = 1,$L$3,E17&gt;=0.99,$L$4, E17&gt;=0.95,$L$5, E17&gt;= 0.93, $L$6, E17&gt;= 0.9,$L$7, E17&gt;= 0.85,$L$8, E17&gt;= 0.8,$L$9, E17&gt;= 0.75,$L$10, E17 &gt;= 0.7, $L$11, E17&gt;= 0.65, $L$12, E17&gt;= 0.6, $L$13, E17&gt;= 0.55,$L$14, E17 &gt;= 0.5,$L$15)</f>
        <v>0.484375</v>
      </c>
      <c r="I17" s="33"/>
      <c r="J17" s="26" t="s">
        <v>270</v>
      </c>
      <c r="K17" s="123" t="str">
        <f>COUNTIF(F:F,"Y") &amp; "-" &amp; COUNTIF(F:F,"N")</f>
        <v>247-242</v>
      </c>
      <c r="L17" s="33"/>
      <c r="M17" s="33"/>
      <c r="N17" s="26" t="s">
        <v>270</v>
      </c>
      <c r="O17" s="153">
        <f>SUM(O3:O15)</f>
        <v>64.149999999999963</v>
      </c>
      <c r="P17" s="33"/>
      <c r="Q17" s="26" t="s">
        <v>270</v>
      </c>
      <c r="R17" s="18" t="str">
        <f>16+COUNTIF(Games!M:M,"Y") &amp; "-" &amp; COUNTIF(Games!M:M,"N")-16</f>
        <v>176-136</v>
      </c>
      <c r="S17" s="33"/>
      <c r="T17" s="26" t="s">
        <v>270</v>
      </c>
      <c r="U17" s="53">
        <f>SUM(U3:U15)</f>
        <v>121.6</v>
      </c>
      <c r="V17" s="33"/>
    </row>
    <row r="18" spans="1:22" ht="24" x14ac:dyDescent="0.25">
      <c r="A18" s="149" t="s">
        <v>166</v>
      </c>
      <c r="B18" s="149" t="s">
        <v>130</v>
      </c>
      <c r="C18" s="149">
        <v>-11.5</v>
      </c>
      <c r="D18" s="149" t="b">
        <v>1</v>
      </c>
      <c r="E18" s="151">
        <v>0.99750000000000005</v>
      </c>
      <c r="F18" s="147" t="s">
        <v>15</v>
      </c>
      <c r="G18" s="150">
        <v>46004</v>
      </c>
      <c r="H18" s="62" cm="1">
        <f t="array" ref="H18">_xlfn.IFS(E18 = 1,$L$3,E18&gt;=0.99,$L$4, E18&gt;=0.95,$L$5, E18&gt;= 0.93, $L$6, E18&gt;= 0.9,$L$7, E18&gt;= 0.85,$L$8, E18&gt;= 0.8,$L$9, E18&gt;= 0.75,$L$10, E18 &gt;= 0.7, $L$11, E18&gt;= 0.65, $L$12, E18&gt;= 0.6, $L$13, E18&gt;= 0.55,$L$14, E18 &gt;= 0.5,$L$15)</f>
        <v>0.484375</v>
      </c>
      <c r="I18" s="33"/>
      <c r="J18" s="33"/>
      <c r="K18" s="155">
        <f>LEFT(K17,3)/SUM(LEFT(K17,3),RIGHT(K17,3))</f>
        <v>0.50511247443762786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24" x14ac:dyDescent="0.25">
      <c r="A19" s="149" t="s">
        <v>161</v>
      </c>
      <c r="B19" s="149" t="s">
        <v>217</v>
      </c>
      <c r="C19" s="149">
        <v>-16.5</v>
      </c>
      <c r="D19" s="149" t="b">
        <v>1</v>
      </c>
      <c r="E19" s="151">
        <v>0.99750000000000005</v>
      </c>
      <c r="F19" s="147" t="s">
        <v>15</v>
      </c>
      <c r="G19" s="150">
        <v>46004</v>
      </c>
      <c r="H19" s="62" cm="1">
        <f t="array" ref="H19">_xlfn.IFS(E19 = 1,$L$3,E19&gt;=0.99,$L$4, E19&gt;=0.95,$L$5, E19&gt;= 0.93, $L$6, E19&gt;= 0.9,$L$7, E19&gt;= 0.85,$L$8, E19&gt;= 0.8,$L$9, E19&gt;= 0.75,$L$10, E19 &gt;= 0.7, $L$11, E19&gt;= 0.65, $L$12, E19&gt;= 0.6, $L$13, E19&gt;= 0.55,$L$14, E19 &gt;= 0.5,$L$15)</f>
        <v>0.484375</v>
      </c>
      <c r="J19" t="s">
        <v>343</v>
      </c>
    </row>
    <row r="20" spans="1:22" ht="24" x14ac:dyDescent="0.25">
      <c r="A20" s="149" t="s">
        <v>311</v>
      </c>
      <c r="B20" s="149" t="s">
        <v>176</v>
      </c>
      <c r="C20" s="149">
        <v>-29.5</v>
      </c>
      <c r="D20" s="149" t="b">
        <v>1</v>
      </c>
      <c r="E20" s="151">
        <v>0.99750000000000005</v>
      </c>
      <c r="F20" s="147" t="s">
        <v>15</v>
      </c>
      <c r="G20" s="150">
        <v>46004</v>
      </c>
      <c r="H20" s="62" cm="1">
        <f t="array" ref="H20">_xlfn.IFS(E20 = 1,$L$3,E20&gt;=0.99,$L$4, E20&gt;=0.95,$L$5, E20&gt;= 0.93, $L$6, E20&gt;= 0.9,$L$7, E20&gt;= 0.85,$L$8, E20&gt;= 0.8,$L$9, E20&gt;= 0.75,$L$10, E20 &gt;= 0.7, $L$11, E20&gt;= 0.65, $L$12, E20&gt;= 0.6, $L$13, E20&gt;= 0.55,$L$14, E20 &gt;= 0.5,$L$15)</f>
        <v>0.484375</v>
      </c>
      <c r="K20" t="s">
        <v>344</v>
      </c>
    </row>
    <row r="21" spans="1:22" ht="24" x14ac:dyDescent="0.25">
      <c r="A21" s="149" t="s">
        <v>255</v>
      </c>
      <c r="B21" s="149" t="s">
        <v>81</v>
      </c>
      <c r="C21" s="149">
        <v>-24</v>
      </c>
      <c r="D21" s="149" t="b">
        <v>1</v>
      </c>
      <c r="E21" s="151">
        <v>0.99750000000000005</v>
      </c>
      <c r="F21" s="147" t="s">
        <v>52</v>
      </c>
      <c r="G21" s="150">
        <v>46004</v>
      </c>
      <c r="H21" s="62" cm="1">
        <f t="array" ref="H21">_xlfn.IFS(E21 = 1,$L$3,E21&gt;=0.99,$L$4, E21&gt;=0.95,$L$5, E21&gt;= 0.93, $L$6, E21&gt;= 0.9,$L$7, E21&gt;= 0.85,$L$8, E21&gt;= 0.8,$L$9, E21&gt;= 0.75,$L$10, E21 &gt;= 0.7, $L$11, E21&gt;= 0.65, $L$12, E21&gt;= 0.6, $L$13, E21&gt;= 0.55,$L$14, E21 &gt;= 0.5,$L$15)</f>
        <v>0.484375</v>
      </c>
      <c r="J21" t="s">
        <v>345</v>
      </c>
    </row>
    <row r="22" spans="1:22" ht="24" x14ac:dyDescent="0.25">
      <c r="A22" s="149" t="s">
        <v>254</v>
      </c>
      <c r="B22" s="149" t="s">
        <v>281</v>
      </c>
      <c r="C22" s="149">
        <v>-14.5</v>
      </c>
      <c r="D22" s="149" t="b">
        <v>1</v>
      </c>
      <c r="E22" s="151">
        <v>0.995</v>
      </c>
      <c r="F22" s="147" t="s">
        <v>18</v>
      </c>
      <c r="G22" s="150">
        <v>46004</v>
      </c>
      <c r="H22" s="62" cm="1">
        <f t="array" ref="H22">_xlfn.IFS(E22 = 1,$L$3,E22&gt;=0.99,$L$4, E22&gt;=0.95,$L$5, E22&gt;= 0.93, $L$6, E22&gt;= 0.9,$L$7, E22&gt;= 0.85,$L$8, E22&gt;= 0.8,$L$9, E22&gt;= 0.75,$L$10, E22 &gt;= 0.7, $L$11, E22&gt;= 0.65, $L$12, E22&gt;= 0.6, $L$13, E22&gt;= 0.55,$L$14, E22 &gt;= 0.5,$L$15)</f>
        <v>0.484375</v>
      </c>
      <c r="J22" t="s">
        <v>346</v>
      </c>
    </row>
    <row r="23" spans="1:22" ht="24" x14ac:dyDescent="0.25">
      <c r="A23" s="149" t="s">
        <v>245</v>
      </c>
      <c r="B23" s="149" t="s">
        <v>241</v>
      </c>
      <c r="C23" s="149">
        <v>-12.5</v>
      </c>
      <c r="D23" s="149" t="b">
        <v>1</v>
      </c>
      <c r="E23" s="151">
        <v>0.995</v>
      </c>
      <c r="F23" s="147" t="s">
        <v>18</v>
      </c>
      <c r="G23" s="150">
        <v>46004</v>
      </c>
      <c r="H23" s="62" cm="1">
        <f t="array" ref="H23">_xlfn.IFS(E23 = 1,$L$3,E23&gt;=0.99,$L$4, E23&gt;=0.95,$L$5, E23&gt;= 0.93, $L$6, E23&gt;= 0.9,$L$7, E23&gt;= 0.85,$L$8, E23&gt;= 0.8,$L$9, E23&gt;= 0.75,$L$10, E23 &gt;= 0.7, $L$11, E23&gt;= 0.65, $L$12, E23&gt;= 0.6, $L$13, E23&gt;= 0.55,$L$14, E23 &gt;= 0.5,$L$15)</f>
        <v>0.484375</v>
      </c>
    </row>
    <row r="24" spans="1:22" ht="24" x14ac:dyDescent="0.25">
      <c r="A24" s="149" t="s">
        <v>30</v>
      </c>
      <c r="B24" s="149" t="s">
        <v>327</v>
      </c>
      <c r="C24" s="149">
        <v>-11.5</v>
      </c>
      <c r="D24" s="149" t="b">
        <v>1</v>
      </c>
      <c r="E24" s="151">
        <v>0.995</v>
      </c>
      <c r="F24" s="147" t="s">
        <v>18</v>
      </c>
      <c r="G24" s="150">
        <v>46004</v>
      </c>
      <c r="H24" s="62" cm="1">
        <f t="array" ref="H24">_xlfn.IFS(E24 = 1,$L$3,E24&gt;=0.99,$L$4, E24&gt;=0.95,$L$5, E24&gt;= 0.93, $L$6, E24&gt;= 0.9,$L$7, E24&gt;= 0.85,$L$8, E24&gt;= 0.8,$L$9, E24&gt;= 0.75,$L$10, E24 &gt;= 0.7, $L$11, E24&gt;= 0.65, $L$12, E24&gt;= 0.6, $L$13, E24&gt;= 0.55,$L$14, E24 &gt;= 0.5,$L$15)</f>
        <v>0.484375</v>
      </c>
      <c r="J24" s="76"/>
    </row>
    <row r="25" spans="1:22" ht="24" x14ac:dyDescent="0.25">
      <c r="A25" s="149" t="s">
        <v>225</v>
      </c>
      <c r="B25" s="149" t="s">
        <v>210</v>
      </c>
      <c r="C25" s="149">
        <v>-23.5</v>
      </c>
      <c r="D25" s="149" t="b">
        <v>1</v>
      </c>
      <c r="E25" s="151">
        <v>0.99250000000000005</v>
      </c>
      <c r="F25" s="147" t="s">
        <v>15</v>
      </c>
      <c r="G25" s="150">
        <v>46004</v>
      </c>
      <c r="H25" s="62" cm="1">
        <f t="array" ref="H25">_xlfn.IFS(E25 = 1,$L$3,E25&gt;=0.99,$L$4, E25&gt;=0.95,$L$5, E25&gt;= 0.93, $L$6, E25&gt;= 0.9,$L$7, E25&gt;= 0.85,$L$8, E25&gt;= 0.8,$L$9, E25&gt;= 0.75,$L$10, E25 &gt;= 0.7, $L$11, E25&gt;= 0.65, $L$12, E25&gt;= 0.6, $L$13, E25&gt;= 0.55,$L$14, E25 &gt;= 0.5,$L$15)</f>
        <v>0.484375</v>
      </c>
    </row>
    <row r="26" spans="1:22" ht="24" x14ac:dyDescent="0.25">
      <c r="A26" s="149" t="s">
        <v>104</v>
      </c>
      <c r="B26" s="149" t="s">
        <v>67</v>
      </c>
      <c r="C26" s="149">
        <v>-18.5</v>
      </c>
      <c r="D26" s="149" t="b">
        <v>1</v>
      </c>
      <c r="E26" s="151">
        <v>0.99250000000000005</v>
      </c>
      <c r="F26" s="147" t="s">
        <v>15</v>
      </c>
      <c r="G26" s="150">
        <v>46004</v>
      </c>
      <c r="H26" s="62" cm="1">
        <f t="array" ref="H26">_xlfn.IFS(E26 = 1,$L$3,E26&gt;=0.99,$L$4, E26&gt;=0.95,$L$5, E26&gt;= 0.93, $L$6, E26&gt;= 0.9,$L$7, E26&gt;= 0.85,$L$8, E26&gt;= 0.8,$L$9, E26&gt;= 0.75,$L$10, E26 &gt;= 0.7, $L$11, E26&gt;= 0.65, $L$12, E26&gt;= 0.6, $L$13, E26&gt;= 0.55,$L$14, E26 &gt;= 0.5,$L$15)</f>
        <v>0.484375</v>
      </c>
    </row>
    <row r="27" spans="1:22" ht="24" x14ac:dyDescent="0.25">
      <c r="A27" s="149" t="s">
        <v>174</v>
      </c>
      <c r="B27" s="149" t="s">
        <v>277</v>
      </c>
      <c r="C27" s="149">
        <v>-10.5</v>
      </c>
      <c r="D27" s="149" t="b">
        <v>1</v>
      </c>
      <c r="E27" s="151">
        <v>0.98250000000000004</v>
      </c>
      <c r="F27" s="147" t="s">
        <v>15</v>
      </c>
      <c r="G27" s="150">
        <v>46004</v>
      </c>
      <c r="H27" s="62" cm="1">
        <f t="array" ref="H27">_xlfn.IFS(E27 = 1,$L$3,E27&gt;=0.99,$L$4, E27&gt;=0.95,$L$5, E27&gt;= 0.93, $L$6, E27&gt;= 0.9,$L$7, E27&gt;= 0.85,$L$8, E27&gt;= 0.8,$L$9, E27&gt;= 0.75,$L$10, E27 &gt;= 0.7, $L$11, E27&gt;= 0.65, $L$12, E27&gt;= 0.6, $L$13, E27&gt;= 0.55,$L$14, E27 &gt;= 0.5,$L$15)</f>
        <v>0.4838709677419355</v>
      </c>
    </row>
    <row r="28" spans="1:22" ht="24" x14ac:dyDescent="0.25">
      <c r="A28" s="149" t="s">
        <v>325</v>
      </c>
      <c r="B28" s="149" t="s">
        <v>118</v>
      </c>
      <c r="C28" s="149">
        <v>-32.5</v>
      </c>
      <c r="D28" s="149" t="b">
        <v>1</v>
      </c>
      <c r="E28" s="151">
        <v>0.98250000000000004</v>
      </c>
      <c r="F28" s="147" t="s">
        <v>15</v>
      </c>
      <c r="G28" s="150">
        <v>46004</v>
      </c>
      <c r="H28" s="62" cm="1">
        <f t="array" ref="H28">_xlfn.IFS(E28 = 1,$L$3,E28&gt;=0.99,$L$4, E28&gt;=0.95,$L$5, E28&gt;= 0.93, $L$6, E28&gt;= 0.9,$L$7, E28&gt;= 0.85,$L$8, E28&gt;= 0.8,$L$9, E28&gt;= 0.75,$L$10, E28 &gt;= 0.7, $L$11, E28&gt;= 0.65, $L$12, E28&gt;= 0.6, $L$13, E28&gt;= 0.55,$L$14, E28 &gt;= 0.5,$L$15)</f>
        <v>0.4838709677419355</v>
      </c>
    </row>
    <row r="29" spans="1:22" ht="24" x14ac:dyDescent="0.25">
      <c r="A29" s="149" t="s">
        <v>178</v>
      </c>
      <c r="B29" s="149" t="s">
        <v>109</v>
      </c>
      <c r="C29" s="149">
        <v>-11.5</v>
      </c>
      <c r="D29" s="149" t="b">
        <v>1</v>
      </c>
      <c r="E29" s="151">
        <v>0.98</v>
      </c>
      <c r="F29" s="147" t="s">
        <v>18</v>
      </c>
      <c r="G29" s="150">
        <v>46004</v>
      </c>
      <c r="H29" s="62" cm="1">
        <f t="array" ref="H29">_xlfn.IFS(E29 = 1,$L$3,E29&gt;=0.99,$L$4, E29&gt;=0.95,$L$5, E29&gt;= 0.93, $L$6, E29&gt;= 0.9,$L$7, E29&gt;= 0.85,$L$8, E29&gt;= 0.8,$L$9, E29&gt;= 0.75,$L$10, E29 &gt;= 0.7, $L$11, E29&gt;= 0.65, $L$12, E29&gt;= 0.6, $L$13, E29&gt;= 0.55,$L$14, E29 &gt;= 0.5,$L$15)</f>
        <v>0.4838709677419355</v>
      </c>
    </row>
    <row r="30" spans="1:22" ht="24" x14ac:dyDescent="0.25">
      <c r="A30" s="149" t="s">
        <v>288</v>
      </c>
      <c r="B30" s="149" t="s">
        <v>129</v>
      </c>
      <c r="C30" s="149">
        <v>-10.5</v>
      </c>
      <c r="D30" s="149" t="b">
        <v>1</v>
      </c>
      <c r="E30" s="151">
        <v>0.97499999999999998</v>
      </c>
      <c r="F30" s="147" t="s">
        <v>15</v>
      </c>
      <c r="G30" s="150">
        <v>46004</v>
      </c>
      <c r="H30" s="62" cm="1">
        <f t="array" ref="H30">_xlfn.IFS(E30 = 1,$L$3,E30&gt;=0.99,$L$4, E30&gt;=0.95,$L$5, E30&gt;= 0.93, $L$6, E30&gt;= 0.9,$L$7, E30&gt;= 0.85,$L$8, E30&gt;= 0.8,$L$9, E30&gt;= 0.75,$L$10, E30 &gt;= 0.7, $L$11, E30&gt;= 0.65, $L$12, E30&gt;= 0.6, $L$13, E30&gt;= 0.55,$L$14, E30 &gt;= 0.5,$L$15)</f>
        <v>0.4838709677419355</v>
      </c>
    </row>
    <row r="31" spans="1:22" ht="24" x14ac:dyDescent="0.25">
      <c r="A31" s="149" t="s">
        <v>37</v>
      </c>
      <c r="B31" s="149" t="s">
        <v>134</v>
      </c>
      <c r="C31" s="149">
        <v>-10.5</v>
      </c>
      <c r="D31" s="149" t="b">
        <v>1</v>
      </c>
      <c r="E31" s="151">
        <v>0.97250000000000003</v>
      </c>
      <c r="F31" s="154" t="s">
        <v>18</v>
      </c>
      <c r="G31" s="150">
        <v>46004</v>
      </c>
      <c r="H31" s="62" cm="1">
        <f t="array" ref="H31">_xlfn.IFS(E31 = 1,$L$3,E31&gt;=0.99,$L$4, E31&gt;=0.95,$L$5, E31&gt;= 0.93, $L$6, E31&gt;= 0.9,$L$7, E31&gt;= 0.85,$L$8, E31&gt;= 0.8,$L$9, E31&gt;= 0.75,$L$10, E31 &gt;= 0.7, $L$11, E31&gt;= 0.65, $L$12, E31&gt;= 0.6, $L$13, E31&gt;= 0.55,$L$14, E31 &gt;= 0.5,$L$15)</f>
        <v>0.4838709677419355</v>
      </c>
    </row>
    <row r="32" spans="1:22" ht="24" x14ac:dyDescent="0.25">
      <c r="A32" s="149" t="s">
        <v>222</v>
      </c>
      <c r="B32" s="149" t="s">
        <v>244</v>
      </c>
      <c r="C32" s="149">
        <v>-15.5</v>
      </c>
      <c r="D32" s="149" t="b">
        <v>1</v>
      </c>
      <c r="E32" s="151">
        <v>0.95499999999999996</v>
      </c>
      <c r="F32" s="154" t="s">
        <v>15</v>
      </c>
      <c r="G32" s="150">
        <v>46004</v>
      </c>
      <c r="H32" s="62" cm="1">
        <f t="array" ref="H32">_xlfn.IFS(E32 = 1,$L$3,E32&gt;=0.99,$L$4, E32&gt;=0.95,$L$5, E32&gt;= 0.93, $L$6, E32&gt;= 0.9,$L$7, E32&gt;= 0.85,$L$8, E32&gt;= 0.8,$L$9, E32&gt;= 0.75,$L$10, E32 &gt;= 0.7, $L$11, E32&gt;= 0.65, $L$12, E32&gt;= 0.6, $L$13, E32&gt;= 0.55,$L$14, E32 &gt;= 0.5,$L$15)</f>
        <v>0.4838709677419355</v>
      </c>
    </row>
    <row r="33" spans="1:8" ht="24" x14ac:dyDescent="0.25">
      <c r="A33" s="149" t="s">
        <v>279</v>
      </c>
      <c r="B33" s="149" t="s">
        <v>22</v>
      </c>
      <c r="C33" s="149">
        <v>-14.5</v>
      </c>
      <c r="D33" s="149" t="b">
        <v>1</v>
      </c>
      <c r="E33" s="151">
        <v>0.95250000000000001</v>
      </c>
      <c r="F33" s="154" t="s">
        <v>18</v>
      </c>
      <c r="G33" s="150">
        <v>46004</v>
      </c>
      <c r="H33" s="62" cm="1">
        <f t="array" ref="H33">_xlfn.IFS(E33 = 1,$L$3,E33&gt;=0.99,$L$4, E33&gt;=0.95,$L$5, E33&gt;= 0.93, $L$6, E33&gt;= 0.9,$L$7, E33&gt;= 0.85,$L$8, E33&gt;= 0.8,$L$9, E33&gt;= 0.75,$L$10, E33 &gt;= 0.7, $L$11, E33&gt;= 0.65, $L$12, E33&gt;= 0.6, $L$13, E33&gt;= 0.55,$L$14, E33 &gt;= 0.5,$L$15)</f>
        <v>0.4838709677419355</v>
      </c>
    </row>
    <row r="34" spans="1:8" ht="24" x14ac:dyDescent="0.25">
      <c r="A34" s="149" t="s">
        <v>220</v>
      </c>
      <c r="B34" s="149" t="s">
        <v>368</v>
      </c>
      <c r="C34" s="149">
        <v>-6.5</v>
      </c>
      <c r="D34" s="149" t="b">
        <v>1</v>
      </c>
      <c r="E34" s="151">
        <v>0.93</v>
      </c>
      <c r="F34" s="154" t="s">
        <v>18</v>
      </c>
      <c r="G34" s="150">
        <v>46004</v>
      </c>
      <c r="H34" s="62" cm="1">
        <f t="array" ref="H34">_xlfn.IFS(E34 = 1,$L$3,E34&gt;=0.99,$L$4, E34&gt;=0.95,$L$5, E34&gt;= 0.93, $L$6, E34&gt;= 0.9,$L$7, E34&gt;= 0.85,$L$8, E34&gt;= 0.8,$L$9, E34&gt;= 0.75,$L$10, E34 &gt;= 0.7, $L$11, E34&gt;= 0.65, $L$12, E34&gt;= 0.6, $L$13, E34&gt;= 0.55,$L$14, E34 &gt;= 0.5,$L$15)</f>
        <v>0.29411764705882354</v>
      </c>
    </row>
    <row r="35" spans="1:8" ht="24" x14ac:dyDescent="0.25">
      <c r="A35" s="149" t="s">
        <v>57</v>
      </c>
      <c r="B35" s="149" t="s">
        <v>121</v>
      </c>
      <c r="C35" s="149">
        <v>-7.5</v>
      </c>
      <c r="D35" s="149" t="b">
        <v>1</v>
      </c>
      <c r="E35" s="151">
        <v>0.91500000000000004</v>
      </c>
      <c r="F35" s="154" t="s">
        <v>18</v>
      </c>
      <c r="G35" s="150">
        <v>46004</v>
      </c>
      <c r="H35" s="62" cm="1">
        <f t="array" ref="H35">_xlfn.IFS(E35 = 1,$L$3,E35&gt;=0.99,$L$4, E35&gt;=0.95,$L$5, E35&gt;= 0.93, $L$6, E35&gt;= 0.9,$L$7, E35&gt;= 0.85,$L$8, E35&gt;= 0.8,$L$9, E35&gt;= 0.75,$L$10, E35 &gt;= 0.7, $L$11, E35&gt;= 0.65, $L$12, E35&gt;= 0.6, $L$13, E35&gt;= 0.55,$L$14, E35 &gt;= 0.5,$L$15)</f>
        <v>0.55172413793103448</v>
      </c>
    </row>
    <row r="36" spans="1:8" ht="24" x14ac:dyDescent="0.25">
      <c r="A36" s="149" t="s">
        <v>182</v>
      </c>
      <c r="B36" s="149" t="s">
        <v>83</v>
      </c>
      <c r="C36" s="149">
        <v>-5.5</v>
      </c>
      <c r="D36" s="149" t="b">
        <v>1</v>
      </c>
      <c r="E36" s="151">
        <v>0.86750000000000005</v>
      </c>
      <c r="F36" s="154" t="s">
        <v>18</v>
      </c>
      <c r="G36" s="150">
        <v>46004</v>
      </c>
      <c r="H36" s="62" cm="1">
        <f t="array" ref="H36">_xlfn.IFS(E36 = 1,$L$3,E36&gt;=0.99,$L$4, E36&gt;=0.95,$L$5, E36&gt;= 0.93, $L$6, E36&gt;= 0.9,$L$7, E36&gt;= 0.85,$L$8, E36&gt;= 0.8,$L$9, E36&gt;= 0.75,$L$10, E36 &gt;= 0.7, $L$11, E36&gt;= 0.65, $L$12, E36&gt;= 0.6, $L$13, E36&gt;= 0.55,$L$14, E36 &gt;= 0.5,$L$15)</f>
        <v>0.61290322580645162</v>
      </c>
    </row>
    <row r="37" spans="1:8" ht="24" x14ac:dyDescent="0.25">
      <c r="A37" s="149" t="s">
        <v>312</v>
      </c>
      <c r="B37" s="149" t="s">
        <v>213</v>
      </c>
      <c r="C37" s="149">
        <v>-4</v>
      </c>
      <c r="D37" s="149" t="b">
        <v>1</v>
      </c>
      <c r="E37" s="151">
        <v>0.85250000000000004</v>
      </c>
      <c r="F37" s="154" t="s">
        <v>18</v>
      </c>
      <c r="G37" s="150">
        <v>46004</v>
      </c>
      <c r="H37" s="62" cm="1">
        <f t="array" ref="H37">_xlfn.IFS(E37 = 1,$L$3,E37&gt;=0.99,$L$4, E37&gt;=0.95,$L$5, E37&gt;= 0.93, $L$6, E37&gt;= 0.9,$L$7, E37&gt;= 0.85,$L$8, E37&gt;= 0.8,$L$9, E37&gt;= 0.75,$L$10, E37 &gt;= 0.7, $L$11, E37&gt;= 0.65, $L$12, E37&gt;= 0.6, $L$13, E37&gt;= 0.55,$L$14, E37 &gt;= 0.5,$L$15)</f>
        <v>0.61290322580645162</v>
      </c>
    </row>
    <row r="38" spans="1:8" ht="24" x14ac:dyDescent="0.25">
      <c r="A38" s="149" t="s">
        <v>316</v>
      </c>
      <c r="B38" s="149" t="s">
        <v>128</v>
      </c>
      <c r="C38" s="149">
        <v>-4</v>
      </c>
      <c r="D38" s="149" t="b">
        <v>1</v>
      </c>
      <c r="E38" s="151">
        <v>0.84499999999999997</v>
      </c>
      <c r="F38" s="154" t="s">
        <v>18</v>
      </c>
      <c r="G38" s="150">
        <v>46004</v>
      </c>
      <c r="H38" s="62" cm="1">
        <f t="array" ref="H38">_xlfn.IFS(E38 = 1,$L$3,E38&gt;=0.99,$L$4, E38&gt;=0.95,$L$5, E38&gt;= 0.93, $L$6, E38&gt;= 0.9,$L$7, E38&gt;= 0.85,$L$8, E38&gt;= 0.8,$L$9, E38&gt;= 0.75,$L$10, E38 &gt;= 0.7, $L$11, E38&gt;= 0.65, $L$12, E38&gt;= 0.6, $L$13, E38&gt;= 0.55,$L$14, E38 &gt;= 0.5,$L$15)</f>
        <v>0.54166666666666663</v>
      </c>
    </row>
    <row r="39" spans="1:8" ht="24" x14ac:dyDescent="0.25">
      <c r="A39" s="149" t="s">
        <v>189</v>
      </c>
      <c r="B39" s="149" t="s">
        <v>157</v>
      </c>
      <c r="C39" s="149">
        <v>-8.5</v>
      </c>
      <c r="D39" s="149" t="b">
        <v>1</v>
      </c>
      <c r="E39" s="151">
        <v>0.84499999999999997</v>
      </c>
      <c r="F39" s="154" t="s">
        <v>15</v>
      </c>
      <c r="G39" s="150">
        <v>46004</v>
      </c>
      <c r="H39" s="62" cm="1">
        <f t="array" ref="H39">_xlfn.IFS(E39 = 1,$L$3,E39&gt;=0.99,$L$4, E39&gt;=0.95,$L$5, E39&gt;= 0.93, $L$6, E39&gt;= 0.9,$L$7, E39&gt;= 0.85,$L$8, E39&gt;= 0.8,$L$9, E39&gt;= 0.75,$L$10, E39 &gt;= 0.7, $L$11, E39&gt;= 0.65, $L$12, E39&gt;= 0.6, $L$13, E39&gt;= 0.55,$L$14, E39 &gt;= 0.5,$L$15)</f>
        <v>0.54166666666666663</v>
      </c>
    </row>
    <row r="40" spans="1:8" ht="24" x14ac:dyDescent="0.25">
      <c r="A40" s="149" t="s">
        <v>163</v>
      </c>
      <c r="B40" s="149" t="s">
        <v>79</v>
      </c>
      <c r="C40" s="149">
        <v>-4</v>
      </c>
      <c r="D40" s="149" t="b">
        <v>1</v>
      </c>
      <c r="E40" s="151">
        <v>0.8</v>
      </c>
      <c r="F40" s="154" t="s">
        <v>18</v>
      </c>
      <c r="G40" s="150">
        <v>46004</v>
      </c>
      <c r="H40" s="62" cm="1">
        <f t="array" ref="H40">_xlfn.IFS(E40 = 1,$L$3,E40&gt;=0.99,$L$4, E40&gt;=0.95,$L$5, E40&gt;= 0.93, $L$6, E40&gt;= 0.9,$L$7, E40&gt;= 0.85,$L$8, E40&gt;= 0.8,$L$9, E40&gt;= 0.75,$L$10, E40 &gt;= 0.7, $L$11, E40&gt;= 0.65, $L$12, E40&gt;= 0.6, $L$13, E40&gt;= 0.55,$L$14, E40 &gt;= 0.5,$L$15)</f>
        <v>0.54166666666666663</v>
      </c>
    </row>
    <row r="41" spans="1:8" ht="24" x14ac:dyDescent="0.25">
      <c r="A41" s="149" t="s">
        <v>126</v>
      </c>
      <c r="B41" s="149" t="s">
        <v>393</v>
      </c>
      <c r="C41" s="149">
        <v>-3.5</v>
      </c>
      <c r="D41" s="149" t="b">
        <v>1</v>
      </c>
      <c r="E41" s="151">
        <v>0.72250000000000003</v>
      </c>
      <c r="F41" s="154" t="s">
        <v>18</v>
      </c>
      <c r="G41" s="150">
        <v>46004</v>
      </c>
      <c r="H41" s="62" cm="1">
        <f t="array" ref="H41">_xlfn.IFS(E41 = 1,$L$3,E41&gt;=0.99,$L$4, E41&gt;=0.95,$L$5, E41&gt;= 0.93, $L$6, E41&gt;= 0.9,$L$7, E41&gt;= 0.85,$L$8, E41&gt;= 0.8,$L$9, E41&gt;= 0.75,$L$10, E41 &gt;= 0.7, $L$11, E41&gt;= 0.65, $L$12, E41&gt;= 0.6, $L$13, E41&gt;= 0.55,$L$14, E41 &gt;= 0.5,$L$15)</f>
        <v>0.66666666666666663</v>
      </c>
    </row>
    <row r="42" spans="1:8" ht="24" x14ac:dyDescent="0.25">
      <c r="A42" s="149" t="s">
        <v>285</v>
      </c>
      <c r="B42" s="149" t="s">
        <v>364</v>
      </c>
      <c r="C42" s="149">
        <v>-2.5</v>
      </c>
      <c r="D42" s="149" t="b">
        <v>1</v>
      </c>
      <c r="E42" s="151">
        <v>0.67500000000000004</v>
      </c>
      <c r="F42" s="154" t="s">
        <v>15</v>
      </c>
      <c r="G42" s="150">
        <v>46004</v>
      </c>
      <c r="H42" s="62" cm="1">
        <f t="array" ref="H42">_xlfn.IFS(E42 = 1,$L$3,E42&gt;=0.99,$L$4, E42&gt;=0.95,$L$5, E42&gt;= 0.93, $L$6, E42&gt;= 0.9,$L$7, E42&gt;= 0.85,$L$8, E42&gt;= 0.8,$L$9, E42&gt;= 0.75,$L$10, E42 &gt;= 0.7, $L$11, E42&gt;= 0.65, $L$12, E42&gt;= 0.6, $L$13, E42&gt;= 0.55,$L$14, E42 &gt;= 0.5,$L$15)</f>
        <v>0.40909090909090912</v>
      </c>
    </row>
    <row r="43" spans="1:8" ht="24" x14ac:dyDescent="0.25">
      <c r="A43" s="149" t="s">
        <v>61</v>
      </c>
      <c r="B43" s="149" t="s">
        <v>199</v>
      </c>
      <c r="C43" s="149">
        <v>-2.5</v>
      </c>
      <c r="D43" s="149" t="b">
        <v>1</v>
      </c>
      <c r="E43" s="151">
        <v>0.66249999999999998</v>
      </c>
      <c r="F43" s="154" t="s">
        <v>15</v>
      </c>
      <c r="G43" s="150">
        <v>46004</v>
      </c>
      <c r="H43" s="62" cm="1">
        <f t="array" ref="H43">_xlfn.IFS(E43 = 1,$L$3,E43&gt;=0.99,$L$4, E43&gt;=0.95,$L$5, E43&gt;= 0.93, $L$6, E43&gt;= 0.9,$L$7, E43&gt;= 0.85,$L$8, E43&gt;= 0.8,$L$9, E43&gt;= 0.75,$L$10, E43 &gt;= 0.7, $L$11, E43&gt;= 0.65, $L$12, E43&gt;= 0.6, $L$13, E43&gt;= 0.55,$L$14, E43 &gt;= 0.5,$L$15)</f>
        <v>0.40909090909090912</v>
      </c>
    </row>
    <row r="44" spans="1:8" ht="24" x14ac:dyDescent="0.25">
      <c r="A44" s="149" t="s">
        <v>258</v>
      </c>
      <c r="B44" s="149" t="s">
        <v>84</v>
      </c>
      <c r="C44" s="149">
        <v>-2.5</v>
      </c>
      <c r="D44" s="149" t="b">
        <v>1</v>
      </c>
      <c r="E44" s="151">
        <v>0.59750000000000003</v>
      </c>
      <c r="F44" s="154" t="s">
        <v>15</v>
      </c>
      <c r="G44" s="150">
        <v>46004</v>
      </c>
      <c r="H44" s="62" cm="1">
        <f t="array" ref="H44">_xlfn.IFS(E44 = 1,$L$3,E44&gt;=0.99,$L$4, E44&gt;=0.95,$L$5, E44&gt;= 0.93, $L$6, E44&gt;= 0.9,$L$7, E44&gt;= 0.85,$L$8, E44&gt;= 0.8,$L$9, E44&gt;= 0.75,$L$10, E44 &gt;= 0.7, $L$11, E44&gt;= 0.65, $L$12, E44&gt;= 0.6, $L$13, E44&gt;= 0.55,$L$14, E44 &gt;= 0.5,$L$15)</f>
        <v>0.4375</v>
      </c>
    </row>
    <row r="45" spans="1:8" ht="24" x14ac:dyDescent="0.25">
      <c r="A45" s="149" t="s">
        <v>184</v>
      </c>
      <c r="B45" s="149" t="s">
        <v>359</v>
      </c>
      <c r="C45" s="149">
        <v>-1</v>
      </c>
      <c r="D45" s="149" t="b">
        <v>0</v>
      </c>
      <c r="E45" s="151">
        <v>0.55000000000000004</v>
      </c>
      <c r="F45" s="154" t="s">
        <v>18</v>
      </c>
      <c r="G45" s="150">
        <v>46004</v>
      </c>
      <c r="H45" s="62" cm="1">
        <f t="array" ref="H45">_xlfn.IFS(E45 = 1,$L$3,E45&gt;=0.99,$L$4, E45&gt;=0.95,$L$5, E45&gt;= 0.93, $L$6, E45&gt;= 0.9,$L$7, E45&gt;= 0.85,$L$8, E45&gt;= 0.8,$L$9, E45&gt;= 0.75,$L$10, E45 &gt;= 0.7, $L$11, E45&gt;= 0.65, $L$12, E45&gt;= 0.6, $L$13, E45&gt;= 0.55,$L$14, E45 &gt;= 0.5,$L$15)</f>
        <v>0.4375</v>
      </c>
    </row>
    <row r="46" spans="1:8" ht="24" x14ac:dyDescent="0.25">
      <c r="A46" s="146" t="s">
        <v>361</v>
      </c>
      <c r="B46" s="146" t="s">
        <v>43</v>
      </c>
      <c r="C46" s="146">
        <v>-17.5</v>
      </c>
      <c r="D46" s="146" t="b">
        <v>1</v>
      </c>
      <c r="E46" s="146">
        <v>0.995</v>
      </c>
      <c r="F46" s="147" t="s">
        <v>15</v>
      </c>
      <c r="G46" s="145">
        <v>46003</v>
      </c>
      <c r="H46" s="62" cm="1">
        <f t="array" ref="H46">_xlfn.IFS(E46 = 1,$L$3,E46&gt;=0.99,$L$4, E46&gt;=0.95,$L$5, E46&gt;= 0.93, $L$6, E46&gt;= 0.9,$L$7, E46&gt;= 0.85,$L$8, E46&gt;= 0.8,$L$9, E46&gt;= 0.75,$L$10, E46 &gt;= 0.7, $L$11, E46&gt;= 0.65, $L$12, E46&gt;= 0.6, $L$13, E46&gt;= 0.55,$L$14, E46 &gt;= 0.5,$L$15)</f>
        <v>0.484375</v>
      </c>
    </row>
    <row r="47" spans="1:8" ht="24" x14ac:dyDescent="0.25">
      <c r="A47" s="146" t="s">
        <v>86</v>
      </c>
      <c r="B47" s="146" t="s">
        <v>318</v>
      </c>
      <c r="C47" s="146">
        <v>-6.5</v>
      </c>
      <c r="D47" s="146" t="b">
        <v>1</v>
      </c>
      <c r="E47" s="146">
        <v>0.9325</v>
      </c>
      <c r="F47" s="147" t="s">
        <v>15</v>
      </c>
      <c r="G47" s="145">
        <v>46003</v>
      </c>
      <c r="H47" s="62" cm="1">
        <f t="array" ref="H47">_xlfn.IFS(E47 = 1,$L$3,E47&gt;=0.99,$L$4, E47&gt;=0.95,$L$5, E47&gt;= 0.93, $L$6, E47&gt;= 0.9,$L$7, E47&gt;= 0.85,$L$8, E47&gt;= 0.8,$L$9, E47&gt;= 0.75,$L$10, E47 &gt;= 0.7, $L$11, E47&gt;= 0.65, $L$12, E47&gt;= 0.6, $L$13, E47&gt;= 0.55,$L$14, E47 &gt;= 0.5,$L$15)</f>
        <v>0.29411764705882354</v>
      </c>
    </row>
    <row r="48" spans="1:8" ht="24" x14ac:dyDescent="0.25">
      <c r="A48" s="142" t="s">
        <v>319</v>
      </c>
      <c r="B48" s="142" t="s">
        <v>109</v>
      </c>
      <c r="C48" s="142">
        <v>-13.5</v>
      </c>
      <c r="D48" s="142" t="b">
        <v>1</v>
      </c>
      <c r="E48" s="142">
        <v>0.99750000000000005</v>
      </c>
      <c r="F48" s="144" t="s">
        <v>18</v>
      </c>
      <c r="G48" s="143">
        <v>46002</v>
      </c>
      <c r="H48" s="62" cm="1">
        <f t="array" ref="H48">_xlfn.IFS(E48 = 1,$L$3,E48&gt;=0.99,$L$4, E48&gt;=0.95,$L$5, E48&gt;= 0.93, $L$6, E48&gt;= 0.9,$L$7, E48&gt;= 0.85,$L$8, E48&gt;= 0.8,$L$9, E48&gt;= 0.75,$L$10, E48 &gt;= 0.7, $L$11, E48&gt;= 0.65, $L$12, E48&gt;= 0.6, $L$13, E48&gt;= 0.55,$L$14, E48 &gt;= 0.5,$L$15)</f>
        <v>0.484375</v>
      </c>
    </row>
    <row r="49" spans="1:8" ht="24" x14ac:dyDescent="0.25">
      <c r="A49" s="142" t="s">
        <v>338</v>
      </c>
      <c r="B49" s="142" t="s">
        <v>173</v>
      </c>
      <c r="C49" s="142">
        <v>-27</v>
      </c>
      <c r="D49" s="142" t="b">
        <v>1</v>
      </c>
      <c r="E49" s="142">
        <v>0.99250000000000005</v>
      </c>
      <c r="F49" s="144" t="s">
        <v>18</v>
      </c>
      <c r="G49" s="143">
        <v>46002</v>
      </c>
      <c r="H49" s="62" cm="1">
        <f t="array" ref="H49">_xlfn.IFS(E49 = 1,$L$3,E49&gt;=0.99,$L$4, E49&gt;=0.95,$L$5, E49&gt;= 0.93, $L$6, E49&gt;= 0.9,$L$7, E49&gt;= 0.85,$L$8, E49&gt;= 0.8,$L$9, E49&gt;= 0.75,$L$10, E49 &gt;= 0.7, $L$11, E49&gt;= 0.65, $L$12, E49&gt;= 0.6, $L$13, E49&gt;= 0.55,$L$14, E49 &gt;= 0.5,$L$15)</f>
        <v>0.484375</v>
      </c>
    </row>
    <row r="50" spans="1:8" ht="24" x14ac:dyDescent="0.25">
      <c r="A50" s="142" t="s">
        <v>191</v>
      </c>
      <c r="B50" s="142" t="s">
        <v>362</v>
      </c>
      <c r="C50" s="142">
        <v>-11.5</v>
      </c>
      <c r="D50" s="142" t="b">
        <v>1</v>
      </c>
      <c r="E50" s="142">
        <v>0.94750000000000001</v>
      </c>
      <c r="F50" s="144" t="s">
        <v>18</v>
      </c>
      <c r="G50" s="143">
        <v>46002</v>
      </c>
      <c r="H50" s="62" cm="1">
        <f t="array" ref="H50">_xlfn.IFS(E50 = 1,$L$3,E50&gt;=0.99,$L$4, E50&gt;=0.95,$L$5, E50&gt;= 0.93, $L$6, E50&gt;= 0.9,$L$7, E50&gt;= 0.85,$L$8, E50&gt;= 0.8,$L$9, E50&gt;= 0.75,$L$10, E50 &gt;= 0.7, $L$11, E50&gt;= 0.65, $L$12, E50&gt;= 0.6, $L$13, E50&gt;= 0.55,$L$14, E50 &gt;= 0.5,$L$15)</f>
        <v>0.29411764705882354</v>
      </c>
    </row>
    <row r="51" spans="1:8" ht="24" x14ac:dyDescent="0.25">
      <c r="A51" s="137" t="s">
        <v>57</v>
      </c>
      <c r="B51" s="137" t="s">
        <v>321</v>
      </c>
      <c r="C51" s="137">
        <v>-14.5</v>
      </c>
      <c r="D51" s="137" t="b">
        <v>1</v>
      </c>
      <c r="E51" s="139">
        <v>1</v>
      </c>
      <c r="F51" s="141" t="s">
        <v>15</v>
      </c>
      <c r="G51" s="138">
        <v>46001</v>
      </c>
      <c r="H51" s="62" cm="1">
        <f t="array" ref="H51">_xlfn.IFS(E51 = 1,$L$3,E51&gt;=0.99,$L$4, E51&gt;=0.95,$L$5, E51&gt;= 0.93, $L$6, E51&gt;= 0.9,$L$7, E51&gt;= 0.85,$L$8, E51&gt;= 0.8,$L$9, E51&gt;= 0.75,$L$10, E51 &gt;= 0.7, $L$11, E51&gt;= 0.65, $L$12, E51&gt;= 0.6, $L$13, E51&gt;= 0.55,$L$14, E51 &gt;= 0.5,$L$15)</f>
        <v>0.56060606060606055</v>
      </c>
    </row>
    <row r="52" spans="1:8" ht="24" x14ac:dyDescent="0.25">
      <c r="A52" s="137" t="s">
        <v>27</v>
      </c>
      <c r="B52" s="137" t="s">
        <v>190</v>
      </c>
      <c r="C52" s="137">
        <v>-10.5</v>
      </c>
      <c r="D52" s="137" t="b">
        <v>1</v>
      </c>
      <c r="E52" s="139">
        <v>0.99750000000000005</v>
      </c>
      <c r="F52" s="141" t="s">
        <v>18</v>
      </c>
      <c r="G52" s="138">
        <v>46001</v>
      </c>
      <c r="H52" s="62" cm="1">
        <f t="array" ref="H52">_xlfn.IFS(E52 = 1,$L$3,E52&gt;=0.99,$L$4, E52&gt;=0.95,$L$5, E52&gt;= 0.93, $L$6, E52&gt;= 0.9,$L$7, E52&gt;= 0.85,$L$8, E52&gt;= 0.8,$L$9, E52&gt;= 0.75,$L$10, E52 &gt;= 0.7, $L$11, E52&gt;= 0.65, $L$12, E52&gt;= 0.6, $L$13, E52&gt;= 0.55,$L$14, E52 &gt;= 0.5,$L$15)</f>
        <v>0.484375</v>
      </c>
    </row>
    <row r="53" spans="1:8" ht="24" x14ac:dyDescent="0.25">
      <c r="A53" s="137" t="s">
        <v>59</v>
      </c>
      <c r="B53" s="137" t="s">
        <v>67</v>
      </c>
      <c r="C53" s="137">
        <v>-20.5</v>
      </c>
      <c r="D53" s="137" t="b">
        <v>1</v>
      </c>
      <c r="E53" s="139">
        <v>0.99750000000000005</v>
      </c>
      <c r="F53" s="141" t="s">
        <v>15</v>
      </c>
      <c r="G53" s="138">
        <v>46001</v>
      </c>
      <c r="H53" s="62" cm="1">
        <f t="array" ref="H53">_xlfn.IFS(E53 = 1,$L$3,E53&gt;=0.99,$L$4, E53&gt;=0.95,$L$5, E53&gt;= 0.93, $L$6, E53&gt;= 0.9,$L$7, E53&gt;= 0.85,$L$8, E53&gt;= 0.8,$L$9, E53&gt;= 0.75,$L$10, E53 &gt;= 0.7, $L$11, E53&gt;= 0.65, $L$12, E53&gt;= 0.6, $L$13, E53&gt;= 0.55,$L$14, E53 &gt;= 0.5,$L$15)</f>
        <v>0.484375</v>
      </c>
    </row>
    <row r="54" spans="1:8" ht="24" x14ac:dyDescent="0.25">
      <c r="A54" s="137" t="s">
        <v>311</v>
      </c>
      <c r="B54" s="137" t="s">
        <v>118</v>
      </c>
      <c r="C54" s="137">
        <v>-40.5</v>
      </c>
      <c r="D54" s="137" t="b">
        <v>1</v>
      </c>
      <c r="E54" s="139">
        <v>0.99750000000000005</v>
      </c>
      <c r="F54" s="141" t="s">
        <v>15</v>
      </c>
      <c r="G54" s="138">
        <v>46001</v>
      </c>
      <c r="H54" s="62" cm="1">
        <f t="array" ref="H54">_xlfn.IFS(E54 = 1,$L$3,E54&gt;=0.99,$L$4, E54&gt;=0.95,$L$5, E54&gt;= 0.93, $L$6, E54&gt;= 0.9,$L$7, E54&gt;= 0.85,$L$8, E54&gt;= 0.8,$L$9, E54&gt;= 0.75,$L$10, E54 &gt;= 0.7, $L$11, E54&gt;= 0.65, $L$12, E54&gt;= 0.6, $L$13, E54&gt;= 0.55,$L$14, E54 &gt;= 0.5,$L$15)</f>
        <v>0.484375</v>
      </c>
    </row>
    <row r="55" spans="1:8" ht="24" x14ac:dyDescent="0.25">
      <c r="A55" s="137" t="s">
        <v>329</v>
      </c>
      <c r="B55" s="137" t="s">
        <v>366</v>
      </c>
      <c r="C55" s="137">
        <v>-19.5</v>
      </c>
      <c r="D55" s="137" t="b">
        <v>1</v>
      </c>
      <c r="E55" s="139">
        <v>0.995</v>
      </c>
      <c r="F55" s="141" t="s">
        <v>18</v>
      </c>
      <c r="G55" s="138">
        <v>46001</v>
      </c>
      <c r="H55" s="62" cm="1">
        <f t="array" ref="H55">_xlfn.IFS(E55 = 1,$L$3,E55&gt;=0.99,$L$4, E55&gt;=0.95,$L$5, E55&gt;= 0.93, $L$6, E55&gt;= 0.9,$L$7, E55&gt;= 0.85,$L$8, E55&gt;= 0.8,$L$9, E55&gt;= 0.75,$L$10, E55 &gt;= 0.7, $L$11, E55&gt;= 0.65, $L$12, E55&gt;= 0.6, $L$13, E55&gt;= 0.55,$L$14, E55 &gt;= 0.5,$L$15)</f>
        <v>0.484375</v>
      </c>
    </row>
    <row r="56" spans="1:8" ht="24" x14ac:dyDescent="0.25">
      <c r="A56" s="137" t="s">
        <v>356</v>
      </c>
      <c r="B56" s="137" t="s">
        <v>17</v>
      </c>
      <c r="C56" s="137">
        <v>-26.5</v>
      </c>
      <c r="D56" s="137" t="b">
        <v>1</v>
      </c>
      <c r="E56" s="139">
        <v>0.99</v>
      </c>
      <c r="F56" s="141" t="s">
        <v>15</v>
      </c>
      <c r="G56" s="138">
        <v>46001</v>
      </c>
      <c r="H56" s="62" cm="1">
        <f t="array" ref="H56">_xlfn.IFS(E56 = 1,$L$3,E56&gt;=0.99,$L$4, E56&gt;=0.95,$L$5, E56&gt;= 0.93, $L$6, E56&gt;= 0.9,$L$7, E56&gt;= 0.85,$L$8, E56&gt;= 0.8,$L$9, E56&gt;= 0.75,$L$10, E56 &gt;= 0.7, $L$11, E56&gt;= 0.65, $L$12, E56&gt;= 0.6, $L$13, E56&gt;= 0.55,$L$14, E56 &gt;= 0.5,$L$15)</f>
        <v>0.484375</v>
      </c>
    </row>
    <row r="57" spans="1:8" ht="24" x14ac:dyDescent="0.25">
      <c r="A57" s="137" t="s">
        <v>395</v>
      </c>
      <c r="B57" s="137" t="s">
        <v>393</v>
      </c>
      <c r="C57" s="137">
        <v>-13.5</v>
      </c>
      <c r="D57" s="137" t="b">
        <v>1</v>
      </c>
      <c r="E57" s="139">
        <v>0.98</v>
      </c>
      <c r="F57" s="141" t="s">
        <v>15</v>
      </c>
      <c r="G57" s="138">
        <v>46001</v>
      </c>
      <c r="H57" s="62" cm="1">
        <f t="array" ref="H57">_xlfn.IFS(E57 = 1,$L$3,E57&gt;=0.99,$L$4, E57&gt;=0.95,$L$5, E57&gt;= 0.93, $L$6, E57&gt;= 0.9,$L$7, E57&gt;= 0.85,$L$8, E57&gt;= 0.8,$L$9, E57&gt;= 0.75,$L$10, E57 &gt;= 0.7, $L$11, E57&gt;= 0.65, $L$12, E57&gt;= 0.6, $L$13, E57&gt;= 0.55,$L$14, E57 &gt;= 0.5,$L$15)</f>
        <v>0.4838709677419355</v>
      </c>
    </row>
    <row r="58" spans="1:8" ht="24" x14ac:dyDescent="0.25">
      <c r="A58" s="137" t="s">
        <v>168</v>
      </c>
      <c r="B58" s="137" t="s">
        <v>238</v>
      </c>
      <c r="C58" s="137">
        <v>-9.5</v>
      </c>
      <c r="D58" s="137" t="b">
        <v>1</v>
      </c>
      <c r="E58" s="139">
        <v>0.96</v>
      </c>
      <c r="F58" s="141" t="s">
        <v>18</v>
      </c>
      <c r="G58" s="138">
        <v>46001</v>
      </c>
      <c r="H58" s="62" cm="1">
        <f t="array" ref="H58">_xlfn.IFS(E58 = 1,$L$3,E58&gt;=0.99,$L$4, E58&gt;=0.95,$L$5, E58&gt;= 0.93, $L$6, E58&gt;= 0.9,$L$7, E58&gt;= 0.85,$L$8, E58&gt;= 0.8,$L$9, E58&gt;= 0.75,$L$10, E58 &gt;= 0.7, $L$11, E58&gt;= 0.65, $L$12, E58&gt;= 0.6, $L$13, E58&gt;= 0.55,$L$14, E58 &gt;= 0.5,$L$15)</f>
        <v>0.4838709677419355</v>
      </c>
    </row>
    <row r="59" spans="1:8" ht="24" x14ac:dyDescent="0.25">
      <c r="A59" s="137" t="s">
        <v>291</v>
      </c>
      <c r="B59" s="137" t="s">
        <v>217</v>
      </c>
      <c r="C59" s="137">
        <v>-12</v>
      </c>
      <c r="D59" s="137" t="b">
        <v>1</v>
      </c>
      <c r="E59" s="139">
        <v>0.95750000000000002</v>
      </c>
      <c r="F59" s="141" t="s">
        <v>15</v>
      </c>
      <c r="G59" s="138">
        <v>46001</v>
      </c>
      <c r="H59" s="62" cm="1">
        <f t="array" ref="H59">_xlfn.IFS(E59 = 1,$L$3,E59&gt;=0.99,$L$4, E59&gt;=0.95,$L$5, E59&gt;= 0.93, $L$6, E59&gt;= 0.9,$L$7, E59&gt;= 0.85,$L$8, E59&gt;= 0.8,$L$9, E59&gt;= 0.75,$L$10, E59 &gt;= 0.7, $L$11, E59&gt;= 0.65, $L$12, E59&gt;= 0.6, $L$13, E59&gt;= 0.55,$L$14, E59 &gt;= 0.5,$L$15)</f>
        <v>0.4838709677419355</v>
      </c>
    </row>
    <row r="60" spans="1:8" ht="24" x14ac:dyDescent="0.25">
      <c r="A60" s="137" t="s">
        <v>206</v>
      </c>
      <c r="B60" s="137" t="s">
        <v>55</v>
      </c>
      <c r="C60" s="137">
        <v>-4</v>
      </c>
      <c r="D60" s="137" t="b">
        <v>1</v>
      </c>
      <c r="E60" s="139">
        <v>0.78749999999999998</v>
      </c>
      <c r="F60" s="141" t="s">
        <v>18</v>
      </c>
      <c r="G60" s="138">
        <v>46001</v>
      </c>
      <c r="H60" s="62" cm="1">
        <f t="array" ref="H60">_xlfn.IFS(E60 = 1,$L$3,E60&gt;=0.99,$L$4, E60&gt;=0.95,$L$5, E60&gt;= 0.93, $L$6, E60&gt;= 0.9,$L$7, E60&gt;= 0.85,$L$8, E60&gt;= 0.8,$L$9, E60&gt;= 0.75,$L$10, E60 &gt;= 0.7, $L$11, E60&gt;= 0.65, $L$12, E60&gt;= 0.6, $L$13, E60&gt;= 0.55,$L$14, E60 &gt;= 0.5,$L$15)</f>
        <v>0.42105263157894735</v>
      </c>
    </row>
    <row r="61" spans="1:8" ht="24" x14ac:dyDescent="0.25">
      <c r="A61" s="137" t="s">
        <v>66</v>
      </c>
      <c r="B61" s="137" t="s">
        <v>37</v>
      </c>
      <c r="C61" s="137">
        <v>-1.5</v>
      </c>
      <c r="D61" s="137" t="b">
        <v>1</v>
      </c>
      <c r="E61" s="139">
        <v>0.61</v>
      </c>
      <c r="F61" s="141" t="s">
        <v>15</v>
      </c>
      <c r="G61" s="138">
        <v>46001</v>
      </c>
      <c r="H61" s="62" cm="1">
        <f t="array" ref="H61">_xlfn.IFS(E61 = 1,$L$3,E61&gt;=0.99,$L$4, E61&gt;=0.95,$L$5, E61&gt;= 0.93, $L$6, E61&gt;= 0.9,$L$7, E61&gt;= 0.85,$L$8, E61&gt;= 0.8,$L$9, E61&gt;= 0.75,$L$10, E61 &gt;= 0.7, $L$11, E61&gt;= 0.65, $L$12, E61&gt;= 0.6, $L$13, E61&gt;= 0.55,$L$14, E61 &gt;= 0.5,$L$15)</f>
        <v>0.6875</v>
      </c>
    </row>
    <row r="62" spans="1:8" ht="24" x14ac:dyDescent="0.25">
      <c r="A62" s="119" t="s">
        <v>35</v>
      </c>
      <c r="B62" s="119" t="s">
        <v>132</v>
      </c>
      <c r="C62" s="119">
        <v>-13.5</v>
      </c>
      <c r="D62" s="119" t="b">
        <v>1</v>
      </c>
      <c r="E62" s="119">
        <v>1</v>
      </c>
      <c r="F62" s="136" t="s">
        <v>15</v>
      </c>
      <c r="G62" s="120">
        <v>46000</v>
      </c>
      <c r="H62" s="62" cm="1">
        <f t="array" ref="H62">_xlfn.IFS(E62 = 1,$L$3,E62&gt;=0.99,$L$4, E62&gt;=0.95,$L$5, E62&gt;= 0.93, $L$6, E62&gt;= 0.9,$L$7, E62&gt;= 0.85,$L$8, E62&gt;= 0.8,$L$9, E62&gt;= 0.75,$L$10, E62 &gt;= 0.7, $L$11, E62&gt;= 0.65, $L$12, E62&gt;= 0.6, $L$13, E62&gt;= 0.55,$L$14, E62 &gt;= 0.5,$L$15)</f>
        <v>0.56060606060606055</v>
      </c>
    </row>
    <row r="63" spans="1:8" ht="24" x14ac:dyDescent="0.25">
      <c r="A63" s="119" t="s">
        <v>359</v>
      </c>
      <c r="B63" s="119" t="s">
        <v>220</v>
      </c>
      <c r="C63" s="119">
        <v>-22.5</v>
      </c>
      <c r="D63" s="119" t="b">
        <v>1</v>
      </c>
      <c r="E63" s="119">
        <v>0.99250000000000005</v>
      </c>
      <c r="F63" s="136" t="s">
        <v>15</v>
      </c>
      <c r="G63" s="120">
        <v>46000</v>
      </c>
      <c r="H63" s="62" cm="1">
        <f t="array" ref="H63">_xlfn.IFS(E63 = 1,$L$3,E63&gt;=0.99,$L$4, E63&gt;=0.95,$L$5, E63&gt;= 0.93, $L$6, E63&gt;= 0.9,$L$7, E63&gt;= 0.85,$L$8, E63&gt;= 0.8,$L$9, E63&gt;= 0.75,$L$10, E63 &gt;= 0.7, $L$11, E63&gt;= 0.65, $L$12, E63&gt;= 0.6, $L$13, E63&gt;= 0.55,$L$14, E63 &gt;= 0.5,$L$15)</f>
        <v>0.484375</v>
      </c>
    </row>
    <row r="64" spans="1:8" ht="24" x14ac:dyDescent="0.25">
      <c r="A64" s="119" t="s">
        <v>283</v>
      </c>
      <c r="B64" s="119" t="s">
        <v>258</v>
      </c>
      <c r="C64" s="119">
        <v>-16</v>
      </c>
      <c r="D64" s="119" t="b">
        <v>1</v>
      </c>
      <c r="E64" s="119">
        <v>0.98499999999999999</v>
      </c>
      <c r="F64" s="136" t="s">
        <v>15</v>
      </c>
      <c r="G64" s="120">
        <v>46000</v>
      </c>
      <c r="H64" s="62" cm="1">
        <f t="array" ref="H64">_xlfn.IFS(E64 = 1,$L$3,E64&gt;=0.99,$L$4, E64&gt;=0.95,$L$5, E64&gt;= 0.93, $L$6, E64&gt;= 0.9,$L$7, E64&gt;= 0.85,$L$8, E64&gt;= 0.8,$L$9, E64&gt;= 0.75,$L$10, E64 &gt;= 0.7, $L$11, E64&gt;= 0.65, $L$12, E64&gt;= 0.6, $L$13, E64&gt;= 0.55,$L$14, E64 &gt;= 0.5,$L$15)</f>
        <v>0.4838709677419355</v>
      </c>
    </row>
    <row r="65" spans="1:8" ht="24" x14ac:dyDescent="0.25">
      <c r="A65" s="119" t="s">
        <v>332</v>
      </c>
      <c r="B65" s="119" t="s">
        <v>215</v>
      </c>
      <c r="C65" s="119">
        <v>-25.5</v>
      </c>
      <c r="D65" s="119" t="b">
        <v>1</v>
      </c>
      <c r="E65" s="119">
        <v>0.98</v>
      </c>
      <c r="F65" s="136" t="s">
        <v>18</v>
      </c>
      <c r="G65" s="120">
        <v>46000</v>
      </c>
      <c r="H65" s="62" cm="1">
        <f t="array" ref="H65">_xlfn.IFS(E65 = 1,$L$3,E65&gt;=0.99,$L$4, E65&gt;=0.95,$L$5, E65&gt;= 0.93, $L$6, E65&gt;= 0.9,$L$7, E65&gt;= 0.85,$L$8, E65&gt;= 0.8,$L$9, E65&gt;= 0.75,$L$10, E65 &gt;= 0.7, $L$11, E65&gt;= 0.65, $L$12, E65&gt;= 0.6, $L$13, E65&gt;= 0.55,$L$14, E65 &gt;= 0.5,$L$15)</f>
        <v>0.4838709677419355</v>
      </c>
    </row>
    <row r="66" spans="1:8" ht="24" x14ac:dyDescent="0.25">
      <c r="A66" s="119" t="s">
        <v>111</v>
      </c>
      <c r="B66" s="119" t="s">
        <v>351</v>
      </c>
      <c r="C66" s="119">
        <v>-19.5</v>
      </c>
      <c r="D66" s="119" t="b">
        <v>1</v>
      </c>
      <c r="E66" s="119">
        <v>0.98</v>
      </c>
      <c r="F66" s="136" t="s">
        <v>15</v>
      </c>
      <c r="G66" s="120">
        <v>46000</v>
      </c>
      <c r="H66" s="62" cm="1">
        <f t="array" ref="H66">_xlfn.IFS(E66 = 1,$L$3,E66&gt;=0.99,$L$4, E66&gt;=0.95,$L$5, E66&gt;= 0.93, $L$6, E66&gt;= 0.9,$L$7, E66&gt;= 0.85,$L$8, E66&gt;= 0.8,$L$9, E66&gt;= 0.75,$L$10, E66 &gt;= 0.7, $L$11, E66&gt;= 0.65, $L$12, E66&gt;= 0.6, $L$13, E66&gt;= 0.55,$L$14, E66 &gt;= 0.5,$L$15)</f>
        <v>0.4838709677419355</v>
      </c>
    </row>
    <row r="67" spans="1:8" ht="24" x14ac:dyDescent="0.25">
      <c r="A67" s="119" t="s">
        <v>280</v>
      </c>
      <c r="B67" s="119" t="s">
        <v>319</v>
      </c>
      <c r="C67" s="119">
        <v>-18.5</v>
      </c>
      <c r="D67" s="119" t="b">
        <v>1</v>
      </c>
      <c r="E67" s="119">
        <v>0.96250000000000002</v>
      </c>
      <c r="F67" s="136" t="s">
        <v>15</v>
      </c>
      <c r="G67" s="120">
        <v>46000</v>
      </c>
      <c r="H67" s="62" cm="1">
        <f t="array" ref="H67">_xlfn.IFS(E67 = 1,$L$3,E67&gt;=0.99,$L$4, E67&gt;=0.95,$L$5, E67&gt;= 0.93, $L$6, E67&gt;= 0.9,$L$7, E67&gt;= 0.85,$L$8, E67&gt;= 0.8,$L$9, E67&gt;= 0.75,$L$10, E67 &gt;= 0.7, $L$11, E67&gt;= 0.65, $L$12, E67&gt;= 0.6, $L$13, E67&gt;= 0.55,$L$14, E67 &gt;= 0.5,$L$15)</f>
        <v>0.4838709677419355</v>
      </c>
    </row>
    <row r="68" spans="1:8" ht="24" x14ac:dyDescent="0.25">
      <c r="A68" s="119" t="s">
        <v>96</v>
      </c>
      <c r="B68" s="119" t="s">
        <v>163</v>
      </c>
      <c r="C68" s="119">
        <v>-18</v>
      </c>
      <c r="D68" s="119" t="b">
        <v>1</v>
      </c>
      <c r="E68" s="119">
        <v>0.96</v>
      </c>
      <c r="F68" s="136" t="s">
        <v>18</v>
      </c>
      <c r="G68" s="120">
        <v>46000</v>
      </c>
      <c r="H68" s="62" cm="1">
        <f t="array" ref="H68">_xlfn.IFS(E68 = 1,$L$3,E68&gt;=0.99,$L$4, E68&gt;=0.95,$L$5, E68&gt;= 0.93, $L$6, E68&gt;= 0.9,$L$7, E68&gt;= 0.85,$L$8, E68&gt;= 0.8,$L$9, E68&gt;= 0.75,$L$10, E68 &gt;= 0.7, $L$11, E68&gt;= 0.65, $L$12, E68&gt;= 0.6, $L$13, E68&gt;= 0.55,$L$14, E68 &gt;= 0.5,$L$15)</f>
        <v>0.4838709677419355</v>
      </c>
    </row>
    <row r="69" spans="1:8" ht="24" x14ac:dyDescent="0.25">
      <c r="A69" s="119" t="s">
        <v>323</v>
      </c>
      <c r="B69" s="119" t="s">
        <v>286</v>
      </c>
      <c r="C69" s="119">
        <v>-7</v>
      </c>
      <c r="D69" s="119" t="b">
        <v>1</v>
      </c>
      <c r="E69" s="119">
        <v>0.92749999999999999</v>
      </c>
      <c r="F69" s="136" t="s">
        <v>18</v>
      </c>
      <c r="G69" s="120">
        <v>46000</v>
      </c>
      <c r="H69" s="62" cm="1">
        <f t="array" ref="H69">_xlfn.IFS(E69 = 1,$L$3,E69&gt;=0.99,$L$4, E69&gt;=0.95,$L$5, E69&gt;= 0.93, $L$6, E69&gt;= 0.9,$L$7, E69&gt;= 0.85,$L$8, E69&gt;= 0.8,$L$9, E69&gt;= 0.75,$L$10, E69 &gt;= 0.7, $L$11, E69&gt;= 0.65, $L$12, E69&gt;= 0.6, $L$13, E69&gt;= 0.55,$L$14, E69 &gt;= 0.5,$L$15)</f>
        <v>0.55172413793103448</v>
      </c>
    </row>
    <row r="70" spans="1:8" ht="24" x14ac:dyDescent="0.25">
      <c r="A70" s="119" t="s">
        <v>129</v>
      </c>
      <c r="B70" s="119" t="s">
        <v>186</v>
      </c>
      <c r="C70" s="119">
        <v>-15.5</v>
      </c>
      <c r="D70" s="119" t="b">
        <v>1</v>
      </c>
      <c r="E70" s="119">
        <v>0.90500000000000003</v>
      </c>
      <c r="F70" s="136" t="s">
        <v>15</v>
      </c>
      <c r="G70" s="120">
        <v>46000</v>
      </c>
      <c r="H70" s="62" cm="1">
        <f t="array" ref="H70">_xlfn.IFS(E70 = 1,$L$3,E70&gt;=0.99,$L$4, E70&gt;=0.95,$L$5, E70&gt;= 0.93, $L$6, E70&gt;= 0.9,$L$7, E70&gt;= 0.85,$L$8, E70&gt;= 0.8,$L$9, E70&gt;= 0.75,$L$10, E70 &gt;= 0.7, $L$11, E70&gt;= 0.65, $L$12, E70&gt;= 0.6, $L$13, E70&gt;= 0.55,$L$14, E70 &gt;= 0.5,$L$15)</f>
        <v>0.55172413793103448</v>
      </c>
    </row>
    <row r="71" spans="1:8" ht="24" x14ac:dyDescent="0.25">
      <c r="A71" s="119" t="s">
        <v>246</v>
      </c>
      <c r="B71" s="119" t="s">
        <v>195</v>
      </c>
      <c r="C71" s="119">
        <v>-1.5</v>
      </c>
      <c r="D71" s="119" t="b">
        <v>0</v>
      </c>
      <c r="E71" s="119">
        <v>0.50249999999999995</v>
      </c>
      <c r="F71" s="136" t="s">
        <v>18</v>
      </c>
      <c r="G71" s="120">
        <v>46000</v>
      </c>
      <c r="H71" s="62" cm="1">
        <f t="array" ref="H71">_xlfn.IFS(E71 = 1,$L$3,E71&gt;=0.99,$L$4, E71&gt;=0.95,$L$5, E71&gt;= 0.93, $L$6, E71&gt;= 0.9,$L$7, E71&gt;= 0.85,$L$8, E71&gt;= 0.8,$L$9, E71&gt;= 0.75,$L$10, E71 &gt;= 0.7, $L$11, E71&gt;= 0.65, $L$12, E71&gt;= 0.6, $L$13, E71&gt;= 0.55,$L$14, E71 &gt;= 0.5,$L$15)</f>
        <v>0.38461538461538464</v>
      </c>
    </row>
    <row r="72" spans="1:8" ht="24" x14ac:dyDescent="0.25">
      <c r="A72" s="116" t="s">
        <v>275</v>
      </c>
      <c r="B72" s="116" t="s">
        <v>85</v>
      </c>
      <c r="C72" s="116">
        <v>-22</v>
      </c>
      <c r="D72" s="116" t="b">
        <v>1</v>
      </c>
      <c r="E72" s="116">
        <v>0.99750000000000005</v>
      </c>
      <c r="F72" s="118" t="s">
        <v>15</v>
      </c>
      <c r="G72" s="117">
        <v>45999</v>
      </c>
      <c r="H72" s="62" cm="1">
        <f t="array" ref="H72">_xlfn.IFS(E72 = 1,$L$3,E72&gt;=0.99,$L$4, E72&gt;=0.95,$L$5, E72&gt;= 0.93, $L$6, E72&gt;= 0.9,$L$7, E72&gt;= 0.85,$L$8, E72&gt;= 0.8,$L$9, E72&gt;= 0.75,$L$10, E72 &gt;= 0.7, $L$11, E72&gt;= 0.65, $L$12, E72&gt;= 0.6, $L$13, E72&gt;= 0.55,$L$14, E72 &gt;= 0.5,$L$15)</f>
        <v>0.484375</v>
      </c>
    </row>
    <row r="73" spans="1:8" ht="24" x14ac:dyDescent="0.25">
      <c r="A73" s="116" t="s">
        <v>106</v>
      </c>
      <c r="B73" s="116" t="s">
        <v>239</v>
      </c>
      <c r="C73" s="116">
        <v>-5.5</v>
      </c>
      <c r="D73" s="116" t="b">
        <v>1</v>
      </c>
      <c r="E73" s="116">
        <v>0.91</v>
      </c>
      <c r="F73" s="118" t="s">
        <v>18</v>
      </c>
      <c r="G73" s="117">
        <v>45999</v>
      </c>
      <c r="H73" s="62" cm="1">
        <f t="array" ref="H73">_xlfn.IFS(E73 = 1,$L$3,E73&gt;=0.99,$L$4, E73&gt;=0.95,$L$5, E73&gt;= 0.93, $L$6, E73&gt;= 0.9,$L$7, E73&gt;= 0.85,$L$8, E73&gt;= 0.8,$L$9, E73&gt;= 0.75,$L$10, E73 &gt;= 0.7, $L$11, E73&gt;= 0.65, $L$12, E73&gt;= 0.6, $L$13, E73&gt;= 0.55,$L$14, E73 &gt;= 0.5,$L$15)</f>
        <v>0.55172413793103448</v>
      </c>
    </row>
    <row r="74" spans="1:8" ht="24" x14ac:dyDescent="0.25">
      <c r="A74" s="114" t="s">
        <v>274</v>
      </c>
      <c r="B74" s="114" t="s">
        <v>21</v>
      </c>
      <c r="C74" s="114">
        <v>-10.5</v>
      </c>
      <c r="D74" s="114" t="b">
        <v>1</v>
      </c>
      <c r="E74" s="114">
        <v>1</v>
      </c>
      <c r="F74" s="108" t="s">
        <v>15</v>
      </c>
      <c r="G74" s="115">
        <v>45998</v>
      </c>
      <c r="H74" s="62" cm="1">
        <f t="array" ref="H74">_xlfn.IFS(E74 = 1,$L$3,E74&gt;=0.99,$L$4, E74&gt;=0.95,$L$5, E74&gt;= 0.93, $L$6, E74&gt;= 0.9,$L$7, E74&gt;= 0.85,$L$8, E74&gt;= 0.8,$L$9, E74&gt;= 0.75,$L$10, E74 &gt;= 0.7, $L$11, E74&gt;= 0.65, $L$12, E74&gt;= 0.6, $L$13, E74&gt;= 0.55,$L$14, E74 &gt;= 0.5,$L$15)</f>
        <v>0.56060606060606055</v>
      </c>
    </row>
    <row r="75" spans="1:8" ht="24" x14ac:dyDescent="0.25">
      <c r="A75" s="114" t="s">
        <v>276</v>
      </c>
      <c r="B75" s="114" t="s">
        <v>197</v>
      </c>
      <c r="C75" s="114">
        <v>-12.5</v>
      </c>
      <c r="D75" s="114" t="b">
        <v>1</v>
      </c>
      <c r="E75" s="114">
        <v>1</v>
      </c>
      <c r="F75" s="108" t="s">
        <v>18</v>
      </c>
      <c r="G75" s="115">
        <v>45998</v>
      </c>
      <c r="H75" s="62" cm="1">
        <f t="array" ref="H75">_xlfn.IFS(E75 = 1,$L$3,E75&gt;=0.99,$L$4, E75&gt;=0.95,$L$5, E75&gt;= 0.93, $L$6, E75&gt;= 0.9,$L$7, E75&gt;= 0.85,$L$8, E75&gt;= 0.8,$L$9, E75&gt;= 0.75,$L$10, E75 &gt;= 0.7, $L$11, E75&gt;= 0.65, $L$12, E75&gt;= 0.6, $L$13, E75&gt;= 0.55,$L$14, E75 &gt;= 0.5,$L$15)</f>
        <v>0.56060606060606055</v>
      </c>
    </row>
    <row r="76" spans="1:8" ht="24" x14ac:dyDescent="0.25">
      <c r="A76" s="114" t="s">
        <v>255</v>
      </c>
      <c r="B76" s="114" t="s">
        <v>113</v>
      </c>
      <c r="C76" s="114">
        <v>-34</v>
      </c>
      <c r="D76" s="114" t="b">
        <v>1</v>
      </c>
      <c r="E76" s="114">
        <v>0.99</v>
      </c>
      <c r="F76" s="108" t="s">
        <v>15</v>
      </c>
      <c r="G76" s="115">
        <v>45998</v>
      </c>
      <c r="H76" s="62" cm="1">
        <f t="array" ref="H76">_xlfn.IFS(E76 = 1,$L$3,E76&gt;=0.99,$L$4, E76&gt;=0.95,$L$5, E76&gt;= 0.93, $L$6, E76&gt;= 0.9,$L$7, E76&gt;= 0.85,$L$8, E76&gt;= 0.8,$L$9, E76&gt;= 0.75,$L$10, E76 &gt;= 0.7, $L$11, E76&gt;= 0.65, $L$12, E76&gt;= 0.6, $L$13, E76&gt;= 0.55,$L$14, E76 &gt;= 0.5,$L$15)</f>
        <v>0.484375</v>
      </c>
    </row>
    <row r="77" spans="1:8" ht="24" x14ac:dyDescent="0.25">
      <c r="A77" s="114" t="s">
        <v>182</v>
      </c>
      <c r="B77" s="114" t="s">
        <v>185</v>
      </c>
      <c r="C77" s="114">
        <v>-18.5</v>
      </c>
      <c r="D77" s="114" t="b">
        <v>1</v>
      </c>
      <c r="E77" s="114">
        <v>0.99</v>
      </c>
      <c r="F77" s="108" t="s">
        <v>15</v>
      </c>
      <c r="G77" s="115">
        <v>45998</v>
      </c>
      <c r="H77" s="62" cm="1">
        <f t="array" ref="H77">_xlfn.IFS(E77 = 1,$L$3,E77&gt;=0.99,$L$4, E77&gt;=0.95,$L$5, E77&gt;= 0.93, $L$6, E77&gt;= 0.9,$L$7, E77&gt;= 0.85,$L$8, E77&gt;= 0.8,$L$9, E77&gt;= 0.75,$L$10, E77 &gt;= 0.7, $L$11, E77&gt;= 0.65, $L$12, E77&gt;= 0.6, $L$13, E77&gt;= 0.55,$L$14, E77 &gt;= 0.5,$L$15)</f>
        <v>0.484375</v>
      </c>
    </row>
    <row r="78" spans="1:8" ht="24" x14ac:dyDescent="0.25">
      <c r="A78" s="114" t="s">
        <v>78</v>
      </c>
      <c r="B78" s="114" t="s">
        <v>335</v>
      </c>
      <c r="C78" s="114">
        <v>-11.5</v>
      </c>
      <c r="D78" s="114" t="b">
        <v>1</v>
      </c>
      <c r="E78" s="114">
        <v>0.99</v>
      </c>
      <c r="F78" s="108" t="s">
        <v>15</v>
      </c>
      <c r="G78" s="115">
        <v>45998</v>
      </c>
      <c r="H78" s="62" cm="1">
        <f t="array" ref="H78">_xlfn.IFS(E78 = 1,$L$3,E78&gt;=0.99,$L$4, E78&gt;=0.95,$L$5, E78&gt;= 0.93, $L$6, E78&gt;= 0.9,$L$7, E78&gt;= 0.85,$L$8, E78&gt;= 0.8,$L$9, E78&gt;= 0.75,$L$10, E78 &gt;= 0.7, $L$11, E78&gt;= 0.65, $L$12, E78&gt;= 0.6, $L$13, E78&gt;= 0.55,$L$14, E78 &gt;= 0.5,$L$15)</f>
        <v>0.484375</v>
      </c>
    </row>
    <row r="79" spans="1:8" ht="24" x14ac:dyDescent="0.25">
      <c r="A79" s="114" t="s">
        <v>131</v>
      </c>
      <c r="B79" s="114" t="s">
        <v>87</v>
      </c>
      <c r="C79" s="114">
        <v>-10.5</v>
      </c>
      <c r="D79" s="114" t="b">
        <v>1</v>
      </c>
      <c r="E79" s="114">
        <v>0.98250000000000004</v>
      </c>
      <c r="F79" s="108" t="s">
        <v>18</v>
      </c>
      <c r="G79" s="115">
        <v>45998</v>
      </c>
      <c r="H79" s="62" cm="1">
        <f t="array" ref="H79">_xlfn.IFS(E79 = 1,$L$3,E79&gt;=0.99,$L$4, E79&gt;=0.95,$L$5, E79&gt;= 0.93, $L$6, E79&gt;= 0.9,$L$7, E79&gt;= 0.85,$L$8, E79&gt;= 0.8,$L$9, E79&gt;= 0.75,$L$10, E79 &gt;= 0.7, $L$11, E79&gt;= 0.65, $L$12, E79&gt;= 0.6, $L$13, E79&gt;= 0.55,$L$14, E79 &gt;= 0.5,$L$15)</f>
        <v>0.4838709677419355</v>
      </c>
    </row>
    <row r="80" spans="1:8" ht="24" x14ac:dyDescent="0.25">
      <c r="A80" s="114" t="s">
        <v>254</v>
      </c>
      <c r="B80" s="114" t="s">
        <v>56</v>
      </c>
      <c r="C80" s="114">
        <v>-13.5</v>
      </c>
      <c r="D80" s="114" t="b">
        <v>1</v>
      </c>
      <c r="E80" s="114">
        <v>0.97250000000000003</v>
      </c>
      <c r="F80" s="108" t="s">
        <v>15</v>
      </c>
      <c r="G80" s="115">
        <v>45998</v>
      </c>
      <c r="H80" s="62" cm="1">
        <f t="array" ref="H80">_xlfn.IFS(E80 = 1,$L$3,E80&gt;=0.99,$L$4, E80&gt;=0.95,$L$5, E80&gt;= 0.93, $L$6, E80&gt;= 0.9,$L$7, E80&gt;= 0.85,$L$8, E80&gt;= 0.8,$L$9, E80&gt;= 0.75,$L$10, E80 &gt;= 0.7, $L$11, E80&gt;= 0.65, $L$12, E80&gt;= 0.6, $L$13, E80&gt;= 0.55,$L$14, E80 &gt;= 0.5,$L$15)</f>
        <v>0.4838709677419355</v>
      </c>
    </row>
    <row r="81" spans="1:8" ht="24" x14ac:dyDescent="0.25">
      <c r="A81" s="114" t="s">
        <v>188</v>
      </c>
      <c r="B81" s="114" t="s">
        <v>241</v>
      </c>
      <c r="C81" s="114">
        <v>-14</v>
      </c>
      <c r="D81" s="114" t="b">
        <v>1</v>
      </c>
      <c r="E81" s="114">
        <v>0.96750000000000003</v>
      </c>
      <c r="F81" s="108" t="s">
        <v>52</v>
      </c>
      <c r="G81" s="115">
        <v>45998</v>
      </c>
      <c r="H81" s="62" cm="1">
        <f t="array" ref="H81">_xlfn.IFS(E81 = 1,$L$3,E81&gt;=0.99,$L$4, E81&gt;=0.95,$L$5, E81&gt;= 0.93, $L$6, E81&gt;= 0.9,$L$7, E81&gt;= 0.85,$L$8, E81&gt;= 0.8,$L$9, E81&gt;= 0.75,$L$10, E81 &gt;= 0.7, $L$11, E81&gt;= 0.65, $L$12, E81&gt;= 0.6, $L$13, E81&gt;= 0.55,$L$14, E81 &gt;= 0.5,$L$15)</f>
        <v>0.4838709677419355</v>
      </c>
    </row>
    <row r="82" spans="1:8" ht="24" x14ac:dyDescent="0.25">
      <c r="A82" s="114" t="s">
        <v>235</v>
      </c>
      <c r="B82" s="114" t="s">
        <v>312</v>
      </c>
      <c r="C82" s="114">
        <v>-5.5</v>
      </c>
      <c r="D82" s="114" t="b">
        <v>1</v>
      </c>
      <c r="E82" s="114">
        <v>0.92500000000000004</v>
      </c>
      <c r="F82" s="108" t="s">
        <v>15</v>
      </c>
      <c r="G82" s="115">
        <v>45998</v>
      </c>
      <c r="H82" s="62" cm="1">
        <f t="array" ref="H82">_xlfn.IFS(E82 = 1,$L$3,E82&gt;=0.99,$L$4, E82&gt;=0.95,$L$5, E82&gt;= 0.93, $L$6, E82&gt;= 0.9,$L$7, E82&gt;= 0.85,$L$8, E82&gt;= 0.8,$L$9, E82&gt;= 0.75,$L$10, E82 &gt;= 0.7, $L$11, E82&gt;= 0.65, $L$12, E82&gt;= 0.6, $L$13, E82&gt;= 0.55,$L$14, E82 &gt;= 0.5,$L$15)</f>
        <v>0.55172413793103448</v>
      </c>
    </row>
    <row r="83" spans="1:8" ht="24" x14ac:dyDescent="0.25">
      <c r="A83" s="114" t="s">
        <v>271</v>
      </c>
      <c r="B83" s="114" t="s">
        <v>73</v>
      </c>
      <c r="C83" s="114">
        <v>-9.5</v>
      </c>
      <c r="D83" s="114" t="b">
        <v>1</v>
      </c>
      <c r="E83" s="114">
        <v>0.92</v>
      </c>
      <c r="F83" s="108" t="s">
        <v>18</v>
      </c>
      <c r="G83" s="115">
        <v>45998</v>
      </c>
      <c r="H83" s="62" cm="1">
        <f t="array" ref="H83">_xlfn.IFS(E83 = 1,$L$3,E83&gt;=0.99,$L$4, E83&gt;=0.95,$L$5, E83&gt;= 0.93, $L$6, E83&gt;= 0.9,$L$7, E83&gt;= 0.85,$L$8, E83&gt;= 0.8,$L$9, E83&gt;= 0.75,$L$10, E83 &gt;= 0.7, $L$11, E83&gt;= 0.65, $L$12, E83&gt;= 0.6, $L$13, E83&gt;= 0.55,$L$14, E83 &gt;= 0.5,$L$15)</f>
        <v>0.55172413793103448</v>
      </c>
    </row>
    <row r="84" spans="1:8" ht="24" x14ac:dyDescent="0.25">
      <c r="A84" s="114" t="s">
        <v>178</v>
      </c>
      <c r="B84" s="114" t="s">
        <v>288</v>
      </c>
      <c r="C84" s="114">
        <v>-8.5</v>
      </c>
      <c r="D84" s="114" t="b">
        <v>1</v>
      </c>
      <c r="E84" s="114">
        <v>0.89500000000000002</v>
      </c>
      <c r="F84" s="108" t="s">
        <v>18</v>
      </c>
      <c r="G84" s="115">
        <v>45998</v>
      </c>
      <c r="H84" s="62" cm="1">
        <f t="array" ref="H84">_xlfn.IFS(E84 = 1,$L$3,E84&gt;=0.99,$L$4, E84&gt;=0.95,$L$5, E84&gt;= 0.93, $L$6, E84&gt;= 0.9,$L$7, E84&gt;= 0.85,$L$8, E84&gt;= 0.8,$L$9, E84&gt;= 0.75,$L$10, E84 &gt;= 0.7, $L$11, E84&gt;= 0.65, $L$12, E84&gt;= 0.6, $L$13, E84&gt;= 0.55,$L$14, E84 &gt;= 0.5,$L$15)</f>
        <v>0.61290322580645162</v>
      </c>
    </row>
    <row r="85" spans="1:8" ht="24" x14ac:dyDescent="0.25">
      <c r="A85" s="114" t="s">
        <v>189</v>
      </c>
      <c r="B85" s="114" t="s">
        <v>183</v>
      </c>
      <c r="C85" s="114">
        <v>-8</v>
      </c>
      <c r="D85" s="114" t="b">
        <v>1</v>
      </c>
      <c r="E85" s="114">
        <v>0.88249999999999995</v>
      </c>
      <c r="F85" s="108" t="s">
        <v>15</v>
      </c>
      <c r="G85" s="115">
        <v>45998</v>
      </c>
      <c r="H85" s="62" cm="1">
        <f t="array" ref="H85">_xlfn.IFS(E85 = 1,$L$3,E85&gt;=0.99,$L$4, E85&gt;=0.95,$L$5, E85&gt;= 0.93, $L$6, E85&gt;= 0.9,$L$7, E85&gt;= 0.85,$L$8, E85&gt;= 0.8,$L$9, E85&gt;= 0.75,$L$10, E85 &gt;= 0.7, $L$11, E85&gt;= 0.65, $L$12, E85&gt;= 0.6, $L$13, E85&gt;= 0.55,$L$14, E85 &gt;= 0.5,$L$15)</f>
        <v>0.61290322580645162</v>
      </c>
    </row>
    <row r="86" spans="1:8" ht="24" x14ac:dyDescent="0.25">
      <c r="A86" s="114" t="s">
        <v>33</v>
      </c>
      <c r="B86" s="114" t="s">
        <v>204</v>
      </c>
      <c r="C86" s="114">
        <v>-8.5</v>
      </c>
      <c r="D86" s="114" t="b">
        <v>1</v>
      </c>
      <c r="E86" s="114">
        <v>0.87250000000000005</v>
      </c>
      <c r="F86" s="108" t="s">
        <v>15</v>
      </c>
      <c r="G86" s="115">
        <v>45998</v>
      </c>
      <c r="H86" s="62" cm="1">
        <f t="array" ref="H86">_xlfn.IFS(E86 = 1,$L$3,E86&gt;=0.99,$L$4, E86&gt;=0.95,$L$5, E86&gt;= 0.93, $L$6, E86&gt;= 0.9,$L$7, E86&gt;= 0.85,$L$8, E86&gt;= 0.8,$L$9, E86&gt;= 0.75,$L$10, E86 &gt;= 0.7, $L$11, E86&gt;= 0.65, $L$12, E86&gt;= 0.6, $L$13, E86&gt;= 0.55,$L$14, E86 &gt;= 0.5,$L$15)</f>
        <v>0.61290322580645162</v>
      </c>
    </row>
    <row r="87" spans="1:8" ht="24" x14ac:dyDescent="0.25">
      <c r="A87" s="114" t="s">
        <v>128</v>
      </c>
      <c r="B87" s="114" t="s">
        <v>37</v>
      </c>
      <c r="C87" s="114">
        <v>-5.5</v>
      </c>
      <c r="D87" s="114" t="b">
        <v>1</v>
      </c>
      <c r="E87" s="114">
        <v>0.82</v>
      </c>
      <c r="F87" s="108" t="s">
        <v>15</v>
      </c>
      <c r="G87" s="115">
        <v>45998</v>
      </c>
      <c r="H87" s="62" cm="1">
        <f t="array" ref="H87">_xlfn.IFS(E87 = 1,$L$3,E87&gt;=0.99,$L$4, E87&gt;=0.95,$L$5, E87&gt;= 0.93, $L$6, E87&gt;= 0.9,$L$7, E87&gt;= 0.85,$L$8, E87&gt;= 0.8,$L$9, E87&gt;= 0.75,$L$10, E87 &gt;= 0.7, $L$11, E87&gt;= 0.65, $L$12, E87&gt;= 0.6, $L$13, E87&gt;= 0.55,$L$14, E87 &gt;= 0.5,$L$15)</f>
        <v>0.54166666666666663</v>
      </c>
    </row>
    <row r="88" spans="1:8" ht="24" x14ac:dyDescent="0.25">
      <c r="A88" s="114" t="s">
        <v>187</v>
      </c>
      <c r="B88" s="114" t="s">
        <v>206</v>
      </c>
      <c r="C88" s="114">
        <v>-3</v>
      </c>
      <c r="D88" s="114" t="b">
        <v>1</v>
      </c>
      <c r="E88" s="114">
        <v>0.74</v>
      </c>
      <c r="F88" s="108" t="s">
        <v>15</v>
      </c>
      <c r="G88" s="115">
        <v>45998</v>
      </c>
      <c r="H88" s="62" cm="1">
        <f t="array" ref="H88">_xlfn.IFS(E88 = 1,$L$3,E88&gt;=0.99,$L$4, E88&gt;=0.95,$L$5, E88&gt;= 0.93, $L$6, E88&gt;= 0.9,$L$7, E88&gt;= 0.85,$L$8, E88&gt;= 0.8,$L$9, E88&gt;= 0.75,$L$10, E88 &gt;= 0.7, $L$11, E88&gt;= 0.65, $L$12, E88&gt;= 0.6, $L$13, E88&gt;= 0.55,$L$14, E88 &gt;= 0.5,$L$15)</f>
        <v>0.66666666666666663</v>
      </c>
    </row>
    <row r="89" spans="1:8" ht="24" x14ac:dyDescent="0.25">
      <c r="A89" s="114" t="s">
        <v>184</v>
      </c>
      <c r="B89" s="114" t="s">
        <v>282</v>
      </c>
      <c r="C89" s="114">
        <v>-5.5</v>
      </c>
      <c r="D89" s="114" t="b">
        <v>1</v>
      </c>
      <c r="E89" s="114">
        <v>0.71250000000000002</v>
      </c>
      <c r="F89" s="108" t="s">
        <v>15</v>
      </c>
      <c r="G89" s="115">
        <v>45998</v>
      </c>
      <c r="H89" s="62" cm="1">
        <f t="array" ref="H89">_xlfn.IFS(E89 = 1,$L$3,E89&gt;=0.99,$L$4, E89&gt;=0.95,$L$5, E89&gt;= 0.93, $L$6, E89&gt;= 0.9,$L$7, E89&gt;= 0.85,$L$8, E89&gt;= 0.8,$L$9, E89&gt;= 0.75,$L$10, E89 &gt;= 0.7, $L$11, E89&gt;= 0.65, $L$12, E89&gt;= 0.6, $L$13, E89&gt;= 0.55,$L$14, E89 &gt;= 0.5,$L$15)</f>
        <v>0.66666666666666663</v>
      </c>
    </row>
    <row r="90" spans="1:8" ht="24" x14ac:dyDescent="0.25">
      <c r="A90" s="110" t="s">
        <v>20</v>
      </c>
      <c r="B90" s="110" t="s">
        <v>210</v>
      </c>
      <c r="C90" s="110">
        <v>-21.5</v>
      </c>
      <c r="D90" s="110" t="b">
        <v>1</v>
      </c>
      <c r="E90" s="110">
        <v>1</v>
      </c>
      <c r="F90" s="108" t="s">
        <v>15</v>
      </c>
      <c r="G90" s="111">
        <v>45997</v>
      </c>
      <c r="H90" s="62" cm="1">
        <f t="array" ref="H90">_xlfn.IFS(E90 = 1,$L$3,E90&gt;=0.99,$L$4, E90&gt;=0.95,$L$5, E90&gt;= 0.93, $L$6, E90&gt;= 0.9,$L$7, E90&gt;= 0.85,$L$8, E90&gt;= 0.8,$L$9, E90&gt;= 0.75,$L$10, E90 &gt;= 0.7, $L$11, E90&gt;= 0.65, $L$12, E90&gt;= 0.6, $L$13, E90&gt;= 0.55,$L$14, E90 &gt;= 0.5,$L$15)</f>
        <v>0.56060606060606055</v>
      </c>
    </row>
    <row r="91" spans="1:8" ht="24" x14ac:dyDescent="0.25">
      <c r="A91" s="110" t="s">
        <v>111</v>
      </c>
      <c r="B91" s="110" t="s">
        <v>132</v>
      </c>
      <c r="C91" s="110">
        <v>-15.5</v>
      </c>
      <c r="D91" s="110" t="b">
        <v>1</v>
      </c>
      <c r="E91" s="110">
        <v>1</v>
      </c>
      <c r="F91" s="108" t="s">
        <v>18</v>
      </c>
      <c r="G91" s="111">
        <v>45997</v>
      </c>
      <c r="H91" s="62" cm="1">
        <f t="array" ref="H91">_xlfn.IFS(E91 = 1,$L$3,E91&gt;=0.99,$L$4, E91&gt;=0.95,$L$5, E91&gt;= 0.93, $L$6, E91&gt;= 0.9,$L$7, E91&gt;= 0.85,$L$8, E91&gt;= 0.8,$L$9, E91&gt;= 0.75,$L$10, E91 &gt;= 0.7, $L$11, E91&gt;= 0.65, $L$12, E91&gt;= 0.6, $L$13, E91&gt;= 0.55,$L$14, E91 &gt;= 0.5,$L$15)</f>
        <v>0.56060606060606055</v>
      </c>
    </row>
    <row r="92" spans="1:8" ht="24" x14ac:dyDescent="0.25">
      <c r="A92" s="110" t="s">
        <v>212</v>
      </c>
      <c r="B92" s="110" t="s">
        <v>93</v>
      </c>
      <c r="C92" s="110">
        <v>-13.5</v>
      </c>
      <c r="D92" s="110" t="b">
        <v>1</v>
      </c>
      <c r="E92" s="110">
        <v>0.99750000000000005</v>
      </c>
      <c r="F92" s="108" t="s">
        <v>18</v>
      </c>
      <c r="G92" s="111">
        <v>45997</v>
      </c>
      <c r="H92" s="62" cm="1">
        <f t="array" ref="H92">_xlfn.IFS(E92 = 1,$L$3,E92&gt;=0.99,$L$4, E92&gt;=0.95,$L$5, E92&gt;= 0.93, $L$6, E92&gt;= 0.9,$L$7, E92&gt;= 0.85,$L$8, E92&gt;= 0.8,$L$9, E92&gt;= 0.75,$L$10, E92 &gt;= 0.7, $L$11, E92&gt;= 0.65, $L$12, E92&gt;= 0.6, $L$13, E92&gt;= 0.55,$L$14, E92 &gt;= 0.5,$L$15)</f>
        <v>0.484375</v>
      </c>
    </row>
    <row r="93" spans="1:8" ht="24" x14ac:dyDescent="0.25">
      <c r="A93" s="110" t="s">
        <v>322</v>
      </c>
      <c r="B93" s="110" t="s">
        <v>89</v>
      </c>
      <c r="C93" s="110">
        <v>-13.5</v>
      </c>
      <c r="D93" s="110" t="b">
        <v>1</v>
      </c>
      <c r="E93" s="110">
        <v>0.99750000000000005</v>
      </c>
      <c r="F93" s="108" t="s">
        <v>15</v>
      </c>
      <c r="G93" s="111">
        <v>45997</v>
      </c>
      <c r="H93" s="62" cm="1">
        <f t="array" ref="H93">_xlfn.IFS(E93 = 1,$L$3,E93&gt;=0.99,$L$4, E93&gt;=0.95,$L$5, E93&gt;= 0.93, $L$6, E93&gt;= 0.9,$L$7, E93&gt;= 0.85,$L$8, E93&gt;= 0.8,$L$9, E93&gt;= 0.75,$L$10, E93 &gt;= 0.7, $L$11, E93&gt;= 0.65, $L$12, E93&gt;= 0.6, $L$13, E93&gt;= 0.55,$L$14, E93 &gt;= 0.5,$L$15)</f>
        <v>0.484375</v>
      </c>
    </row>
    <row r="94" spans="1:8" ht="24" x14ac:dyDescent="0.25">
      <c r="A94" s="110" t="s">
        <v>361</v>
      </c>
      <c r="B94" s="110" t="s">
        <v>154</v>
      </c>
      <c r="C94" s="110">
        <v>-10</v>
      </c>
      <c r="D94" s="110" t="b">
        <v>1</v>
      </c>
      <c r="E94" s="110">
        <v>0.99750000000000005</v>
      </c>
      <c r="F94" s="108" t="s">
        <v>15</v>
      </c>
      <c r="G94" s="111">
        <v>45997</v>
      </c>
      <c r="H94" s="62" cm="1">
        <f t="array" ref="H94">_xlfn.IFS(E94 = 1,$L$3,E94&gt;=0.99,$L$4, E94&gt;=0.95,$L$5, E94&gt;= 0.93, $L$6, E94&gt;= 0.9,$L$7, E94&gt;= 0.85,$L$8, E94&gt;= 0.8,$L$9, E94&gt;= 0.75,$L$10, E94 &gt;= 0.7, $L$11, E94&gt;= 0.65, $L$12, E94&gt;= 0.6, $L$13, E94&gt;= 0.55,$L$14, E94 &gt;= 0.5,$L$15)</f>
        <v>0.484375</v>
      </c>
    </row>
    <row r="95" spans="1:8" ht="24" x14ac:dyDescent="0.25">
      <c r="A95" s="110" t="s">
        <v>330</v>
      </c>
      <c r="B95" s="110" t="s">
        <v>223</v>
      </c>
      <c r="C95" s="110">
        <v>-17.5</v>
      </c>
      <c r="D95" s="110" t="b">
        <v>1</v>
      </c>
      <c r="E95" s="110">
        <v>0.99750000000000005</v>
      </c>
      <c r="F95" s="108" t="s">
        <v>18</v>
      </c>
      <c r="G95" s="111">
        <v>45997</v>
      </c>
      <c r="H95" s="62" cm="1">
        <f t="array" ref="H95">_xlfn.IFS(E95 = 1,$L$3,E95&gt;=0.99,$L$4, E95&gt;=0.95,$L$5, E95&gt;= 0.93, $L$6, E95&gt;= 0.9,$L$7, E95&gt;= 0.85,$L$8, E95&gt;= 0.8,$L$9, E95&gt;= 0.75,$L$10, E95 &gt;= 0.7, $L$11, E95&gt;= 0.65, $L$12, E95&gt;= 0.6, $L$13, E95&gt;= 0.55,$L$14, E95 &gt;= 0.5,$L$15)</f>
        <v>0.484375</v>
      </c>
    </row>
    <row r="96" spans="1:8" ht="24" x14ac:dyDescent="0.25">
      <c r="A96" s="110" t="s">
        <v>192</v>
      </c>
      <c r="B96" s="110" t="s">
        <v>242</v>
      </c>
      <c r="C96" s="110">
        <v>-9.5</v>
      </c>
      <c r="D96" s="110" t="b">
        <v>1</v>
      </c>
      <c r="E96" s="110">
        <v>0.995</v>
      </c>
      <c r="F96" s="108" t="s">
        <v>15</v>
      </c>
      <c r="G96" s="111">
        <v>45997</v>
      </c>
      <c r="H96" s="62" cm="1">
        <f t="array" ref="H96">_xlfn.IFS(E96 = 1,$L$3,E96&gt;=0.99,$L$4, E96&gt;=0.95,$L$5, E96&gt;= 0.93, $L$6, E96&gt;= 0.9,$L$7, E96&gt;= 0.85,$L$8, E96&gt;= 0.8,$L$9, E96&gt;= 0.75,$L$10, E96 &gt;= 0.7, $L$11, E96&gt;= 0.65, $L$12, E96&gt;= 0.6, $L$13, E96&gt;= 0.55,$L$14, E96 &gt;= 0.5,$L$15)</f>
        <v>0.484375</v>
      </c>
    </row>
    <row r="97" spans="1:8" ht="24" x14ac:dyDescent="0.25">
      <c r="A97" s="110" t="s">
        <v>239</v>
      </c>
      <c r="B97" s="110" t="s">
        <v>129</v>
      </c>
      <c r="C97" s="110">
        <v>-19.5</v>
      </c>
      <c r="D97" s="110" t="b">
        <v>1</v>
      </c>
      <c r="E97" s="110">
        <v>0.99</v>
      </c>
      <c r="F97" s="108" t="s">
        <v>15</v>
      </c>
      <c r="G97" s="111">
        <v>45997</v>
      </c>
      <c r="H97" s="62" cm="1">
        <f t="array" ref="H97">_xlfn.IFS(E97 = 1,$L$3,E97&gt;=0.99,$L$4, E97&gt;=0.95,$L$5, E97&gt;= 0.93, $L$6, E97&gt;= 0.9,$L$7, E97&gt;= 0.85,$L$8, E97&gt;= 0.8,$L$9, E97&gt;= 0.75,$L$10, E97 &gt;= 0.7, $L$11, E97&gt;= 0.65, $L$12, E97&gt;= 0.6, $L$13, E97&gt;= 0.55,$L$14, E97 &gt;= 0.5,$L$15)</f>
        <v>0.484375</v>
      </c>
    </row>
    <row r="98" spans="1:8" ht="24" x14ac:dyDescent="0.25">
      <c r="A98" s="110" t="s">
        <v>166</v>
      </c>
      <c r="B98" s="110" t="s">
        <v>186</v>
      </c>
      <c r="C98" s="110">
        <v>-25.5</v>
      </c>
      <c r="D98" s="110" t="b">
        <v>1</v>
      </c>
      <c r="E98" s="110">
        <v>0.99</v>
      </c>
      <c r="F98" s="108" t="s">
        <v>15</v>
      </c>
      <c r="G98" s="111">
        <v>45997</v>
      </c>
      <c r="H98" s="62" cm="1">
        <f t="array" ref="H98">_xlfn.IFS(E98 = 1,$L$3,E98&gt;=0.99,$L$4, E98&gt;=0.95,$L$5, E98&gt;= 0.93, $L$6, E98&gt;= 0.9,$L$7, E98&gt;= 0.85,$L$8, E98&gt;= 0.8,$L$9, E98&gt;= 0.75,$L$10, E98 &gt;= 0.7, $L$11, E98&gt;= 0.65, $L$12, E98&gt;= 0.6, $L$13, E98&gt;= 0.55,$L$14, E98 &gt;= 0.5,$L$15)</f>
        <v>0.484375</v>
      </c>
    </row>
    <row r="99" spans="1:8" ht="24" x14ac:dyDescent="0.25">
      <c r="A99" s="110" t="s">
        <v>207</v>
      </c>
      <c r="B99" s="110" t="s">
        <v>57</v>
      </c>
      <c r="C99" s="110">
        <v>-9</v>
      </c>
      <c r="D99" s="110" t="b">
        <v>1</v>
      </c>
      <c r="E99" s="110">
        <v>0.98750000000000004</v>
      </c>
      <c r="F99" s="108" t="s">
        <v>52</v>
      </c>
      <c r="G99" s="111">
        <v>45997</v>
      </c>
      <c r="H99" s="62" cm="1">
        <f t="array" ref="H99">_xlfn.IFS(E99 = 1,$L$3,E99&gt;=0.99,$L$4, E99&gt;=0.95,$L$5, E99&gt;= 0.93, $L$6, E99&gt;= 0.9,$L$7, E99&gt;= 0.85,$L$8, E99&gt;= 0.8,$L$9, E99&gt;= 0.75,$L$10, E99 &gt;= 0.7, $L$11, E99&gt;= 0.65, $L$12, E99&gt;= 0.6, $L$13, E99&gt;= 0.55,$L$14, E99 &gt;= 0.5,$L$15)</f>
        <v>0.4838709677419355</v>
      </c>
    </row>
    <row r="100" spans="1:8" ht="24" x14ac:dyDescent="0.25">
      <c r="A100" s="110" t="s">
        <v>47</v>
      </c>
      <c r="B100" s="110" t="s">
        <v>211</v>
      </c>
      <c r="C100" s="110">
        <v>-9.5</v>
      </c>
      <c r="D100" s="110" t="b">
        <v>1</v>
      </c>
      <c r="E100" s="110">
        <v>0.98750000000000004</v>
      </c>
      <c r="F100" s="108" t="s">
        <v>15</v>
      </c>
      <c r="G100" s="111">
        <v>45997</v>
      </c>
      <c r="H100" s="62" cm="1">
        <f t="array" ref="H100">_xlfn.IFS(E100 = 1,$L$3,E100&gt;=0.99,$L$4, E100&gt;=0.95,$L$5, E100&gt;= 0.93, $L$6, E100&gt;= 0.9,$L$7, E100&gt;= 0.85,$L$8, E100&gt;= 0.8,$L$9, E100&gt;= 0.75,$L$10, E100 &gt;= 0.7, $L$11, E100&gt;= 0.65, $L$12, E100&gt;= 0.6, $L$13, E100&gt;= 0.55,$L$14, E100 &gt;= 0.5,$L$15)</f>
        <v>0.4838709677419355</v>
      </c>
    </row>
    <row r="101" spans="1:8" ht="24" x14ac:dyDescent="0.25">
      <c r="A101" s="110" t="s">
        <v>280</v>
      </c>
      <c r="B101" s="110" t="s">
        <v>395</v>
      </c>
      <c r="C101" s="110">
        <v>-31</v>
      </c>
      <c r="D101" s="110" t="b">
        <v>1</v>
      </c>
      <c r="E101" s="110">
        <v>0.98499999999999999</v>
      </c>
      <c r="F101" s="108" t="s">
        <v>15</v>
      </c>
      <c r="G101" s="111">
        <v>45997</v>
      </c>
      <c r="H101" s="62" cm="1">
        <f t="array" ref="H101">_xlfn.IFS(E101 = 1,$L$3,E101&gt;=0.99,$L$4, E101&gt;=0.95,$L$5, E101&gt;= 0.93, $L$6, E101&gt;= 0.9,$L$7, E101&gt;= 0.85,$L$8, E101&gt;= 0.8,$L$9, E101&gt;= 0.75,$L$10, E101 &gt;= 0.7, $L$11, E101&gt;= 0.65, $L$12, E101&gt;= 0.6, $L$13, E101&gt;= 0.55,$L$14, E101 &gt;= 0.5,$L$15)</f>
        <v>0.4838709677419355</v>
      </c>
    </row>
    <row r="102" spans="1:8" ht="24" x14ac:dyDescent="0.25">
      <c r="A102" s="110" t="s">
        <v>83</v>
      </c>
      <c r="B102" s="110" t="s">
        <v>248</v>
      </c>
      <c r="C102" s="110">
        <v>-18</v>
      </c>
      <c r="D102" s="110" t="b">
        <v>1</v>
      </c>
      <c r="E102" s="110">
        <v>0.98250000000000004</v>
      </c>
      <c r="F102" s="108" t="s">
        <v>15</v>
      </c>
      <c r="G102" s="111">
        <v>45997</v>
      </c>
      <c r="H102" s="62" cm="1">
        <f t="array" ref="H102">_xlfn.IFS(E102 = 1,$L$3,E102&gt;=0.99,$L$4, E102&gt;=0.95,$L$5, E102&gt;= 0.93, $L$6, E102&gt;= 0.9,$L$7, E102&gt;= 0.85,$L$8, E102&gt;= 0.8,$L$9, E102&gt;= 0.75,$L$10, E102 &gt;= 0.7, $L$11, E102&gt;= 0.65, $L$12, E102&gt;= 0.6, $L$13, E102&gt;= 0.55,$L$14, E102 &gt;= 0.5,$L$15)</f>
        <v>0.4838709677419355</v>
      </c>
    </row>
    <row r="103" spans="1:8" ht="24" x14ac:dyDescent="0.25">
      <c r="A103" s="110" t="s">
        <v>331</v>
      </c>
      <c r="B103" s="110" t="s">
        <v>392</v>
      </c>
      <c r="C103" s="110">
        <v>-13.5</v>
      </c>
      <c r="D103" s="110" t="b">
        <v>1</v>
      </c>
      <c r="E103" s="110">
        <v>0.98</v>
      </c>
      <c r="F103" s="108" t="s">
        <v>15</v>
      </c>
      <c r="G103" s="111">
        <v>45997</v>
      </c>
      <c r="H103" s="62" cm="1">
        <f t="array" ref="H103">_xlfn.IFS(E103 = 1,$L$3,E103&gt;=0.99,$L$4, E103&gt;=0.95,$L$5, E103&gt;= 0.93, $L$6, E103&gt;= 0.9,$L$7, E103&gt;= 0.85,$L$8, E103&gt;= 0.8,$L$9, E103&gt;= 0.75,$L$10, E103 &gt;= 0.7, $L$11, E103&gt;= 0.65, $L$12, E103&gt;= 0.6, $L$13, E103&gt;= 0.55,$L$14, E103 &gt;= 0.5,$L$15)</f>
        <v>0.4838709677419355</v>
      </c>
    </row>
    <row r="104" spans="1:8" ht="24" x14ac:dyDescent="0.25">
      <c r="A104" s="110" t="s">
        <v>65</v>
      </c>
      <c r="B104" s="110" t="s">
        <v>157</v>
      </c>
      <c r="C104" s="110">
        <v>-10.5</v>
      </c>
      <c r="D104" s="110" t="b">
        <v>1</v>
      </c>
      <c r="E104" s="110">
        <v>0.97499999999999998</v>
      </c>
      <c r="F104" s="108" t="s">
        <v>18</v>
      </c>
      <c r="G104" s="111">
        <v>45997</v>
      </c>
      <c r="H104" s="62" cm="1">
        <f t="array" ref="H104">_xlfn.IFS(E104 = 1,$L$3,E104&gt;=0.99,$L$4, E104&gt;=0.95,$L$5, E104&gt;= 0.93, $L$6, E104&gt;= 0.9,$L$7, E104&gt;= 0.85,$L$8, E104&gt;= 0.8,$L$9, E104&gt;= 0.75,$L$10, E104 &gt;= 0.7, $L$11, E104&gt;= 0.65, $L$12, E104&gt;= 0.6, $L$13, E104&gt;= 0.55,$L$14, E104 &gt;= 0.5,$L$15)</f>
        <v>0.4838709677419355</v>
      </c>
    </row>
    <row r="105" spans="1:8" ht="24" x14ac:dyDescent="0.25">
      <c r="A105" s="110" t="s">
        <v>91</v>
      </c>
      <c r="B105" s="110" t="s">
        <v>110</v>
      </c>
      <c r="C105" s="110">
        <v>-9</v>
      </c>
      <c r="D105" s="110" t="b">
        <v>1</v>
      </c>
      <c r="E105" s="110">
        <v>0.96250000000000002</v>
      </c>
      <c r="F105" s="108" t="s">
        <v>18</v>
      </c>
      <c r="G105" s="111">
        <v>45997</v>
      </c>
      <c r="H105" s="62" cm="1">
        <f t="array" ref="H105">_xlfn.IFS(E105 = 1,$L$3,E105&gt;=0.99,$L$4, E105&gt;=0.95,$L$5, E105&gt;= 0.93, $L$6, E105&gt;= 0.9,$L$7, E105&gt;= 0.85,$L$8, E105&gt;= 0.8,$L$9, E105&gt;= 0.75,$L$10, E105 &gt;= 0.7, $L$11, E105&gt;= 0.65, $L$12, E105&gt;= 0.6, $L$13, E105&gt;= 0.55,$L$14, E105 &gt;= 0.5,$L$15)</f>
        <v>0.4838709677419355</v>
      </c>
    </row>
    <row r="106" spans="1:8" ht="24" x14ac:dyDescent="0.25">
      <c r="A106" s="110" t="s">
        <v>245</v>
      </c>
      <c r="B106" s="110" t="s">
        <v>250</v>
      </c>
      <c r="C106" s="110">
        <v>-11.5</v>
      </c>
      <c r="D106" s="110" t="b">
        <v>1</v>
      </c>
      <c r="E106" s="110">
        <v>0.96250000000000002</v>
      </c>
      <c r="F106" s="108" t="s">
        <v>15</v>
      </c>
      <c r="G106" s="111">
        <v>45997</v>
      </c>
      <c r="H106" s="62" cm="1">
        <f t="array" ref="H106">_xlfn.IFS(E106 = 1,$L$3,E106&gt;=0.99,$L$4, E106&gt;=0.95,$L$5, E106&gt;= 0.93, $L$6, E106&gt;= 0.9,$L$7, E106&gt;= 0.85,$L$8, E106&gt;= 0.8,$L$9, E106&gt;= 0.75,$L$10, E106 &gt;= 0.7, $L$11, E106&gt;= 0.65, $L$12, E106&gt;= 0.6, $L$13, E106&gt;= 0.55,$L$14, E106 &gt;= 0.5,$L$15)</f>
        <v>0.4838709677419355</v>
      </c>
    </row>
    <row r="107" spans="1:8" ht="24" x14ac:dyDescent="0.25">
      <c r="A107" s="110" t="s">
        <v>119</v>
      </c>
      <c r="B107" s="110" t="s">
        <v>205</v>
      </c>
      <c r="C107" s="110">
        <v>-4.5</v>
      </c>
      <c r="D107" s="110" t="b">
        <v>1</v>
      </c>
      <c r="E107" s="110">
        <v>0.92749999999999999</v>
      </c>
      <c r="F107" s="108" t="s">
        <v>18</v>
      </c>
      <c r="G107" s="111">
        <v>45997</v>
      </c>
      <c r="H107" s="62" cm="1">
        <f t="array" ref="H107">_xlfn.IFS(E107 = 1,$L$3,E107&gt;=0.99,$L$4, E107&gt;=0.95,$L$5, E107&gt;= 0.93, $L$6, E107&gt;= 0.9,$L$7, E107&gt;= 0.85,$L$8, E107&gt;= 0.8,$L$9, E107&gt;= 0.75,$L$10, E107 &gt;= 0.7, $L$11, E107&gt;= 0.65, $L$12, E107&gt;= 0.6, $L$13, E107&gt;= 0.55,$L$14, E107 &gt;= 0.5,$L$15)</f>
        <v>0.55172413793103448</v>
      </c>
    </row>
    <row r="108" spans="1:8" ht="24" x14ac:dyDescent="0.25">
      <c r="A108" s="110" t="s">
        <v>160</v>
      </c>
      <c r="B108" s="110" t="s">
        <v>16</v>
      </c>
      <c r="C108" s="110">
        <v>-8.5</v>
      </c>
      <c r="D108" s="110" t="b">
        <v>1</v>
      </c>
      <c r="E108" s="110">
        <v>0.92749999999999999</v>
      </c>
      <c r="F108" s="108" t="s">
        <v>15</v>
      </c>
      <c r="G108" s="111">
        <v>45997</v>
      </c>
      <c r="H108" s="62" cm="1">
        <f t="array" ref="H108">_xlfn.IFS(E108 = 1,$L$3,E108&gt;=0.99,$L$4, E108&gt;=0.95,$L$5, E108&gt;= 0.93, $L$6, E108&gt;= 0.9,$L$7, E108&gt;= 0.85,$L$8, E108&gt;= 0.8,$L$9, E108&gt;= 0.75,$L$10, E108 &gt;= 0.7, $L$11, E108&gt;= 0.65, $L$12, E108&gt;= 0.6, $L$13, E108&gt;= 0.55,$L$14, E108 &gt;= 0.5,$L$15)</f>
        <v>0.55172413793103448</v>
      </c>
    </row>
    <row r="109" spans="1:8" ht="24" x14ac:dyDescent="0.25">
      <c r="A109" s="110" t="s">
        <v>95</v>
      </c>
      <c r="B109" s="110" t="s">
        <v>339</v>
      </c>
      <c r="C109" s="110">
        <v>-16.5</v>
      </c>
      <c r="D109" s="110" t="b">
        <v>1</v>
      </c>
      <c r="E109" s="110">
        <v>0.91249999999999998</v>
      </c>
      <c r="F109" s="108" t="s">
        <v>18</v>
      </c>
      <c r="G109" s="111">
        <v>45997</v>
      </c>
      <c r="H109" s="62" cm="1">
        <f t="array" ref="H109">_xlfn.IFS(E109 = 1,$L$3,E109&gt;=0.99,$L$4, E109&gt;=0.95,$L$5, E109&gt;= 0.93, $L$6, E109&gt;= 0.9,$L$7, E109&gt;= 0.85,$L$8, E109&gt;= 0.8,$L$9, E109&gt;= 0.75,$L$10, E109 &gt;= 0.7, $L$11, E109&gt;= 0.65, $L$12, E109&gt;= 0.6, $L$13, E109&gt;= 0.55,$L$14, E109 &gt;= 0.5,$L$15)</f>
        <v>0.55172413793103448</v>
      </c>
    </row>
    <row r="110" spans="1:8" ht="24" x14ac:dyDescent="0.25">
      <c r="A110" s="110" t="s">
        <v>104</v>
      </c>
      <c r="B110" s="110" t="s">
        <v>66</v>
      </c>
      <c r="C110" s="110">
        <v>-11</v>
      </c>
      <c r="D110" s="110" t="b">
        <v>1</v>
      </c>
      <c r="E110" s="110">
        <v>0.90500000000000003</v>
      </c>
      <c r="F110" s="112" t="s">
        <v>15</v>
      </c>
      <c r="G110" s="111">
        <v>45997</v>
      </c>
      <c r="H110" s="62" cm="1">
        <f t="array" ref="H110">_xlfn.IFS(E110 = 1,$L$3,E110&gt;=0.99,$L$4, E110&gt;=0.95,$L$5, E110&gt;= 0.93, $L$6, E110&gt;= 0.9,$L$7, E110&gt;= 0.85,$L$8, E110&gt;= 0.8,$L$9, E110&gt;= 0.75,$L$10, E110 &gt;= 0.7, $L$11, E110&gt;= 0.65, $L$12, E110&gt;= 0.6, $L$13, E110&gt;= 0.55,$L$14, E110 &gt;= 0.5,$L$15)</f>
        <v>0.55172413793103448</v>
      </c>
    </row>
    <row r="111" spans="1:8" ht="24" x14ac:dyDescent="0.25">
      <c r="A111" s="110" t="s">
        <v>62</v>
      </c>
      <c r="B111" s="110" t="s">
        <v>163</v>
      </c>
      <c r="C111" s="110">
        <v>-7.5</v>
      </c>
      <c r="D111" s="110" t="b">
        <v>1</v>
      </c>
      <c r="E111" s="110">
        <v>0.90249999999999997</v>
      </c>
      <c r="F111" s="112" t="s">
        <v>15</v>
      </c>
      <c r="G111" s="111">
        <v>45997</v>
      </c>
      <c r="H111" s="62" cm="1">
        <f t="array" ref="H111">_xlfn.IFS(E111 = 1,$L$3,E111&gt;=0.99,$L$4, E111&gt;=0.95,$L$5, E111&gt;= 0.93, $L$6, E111&gt;= 0.9,$L$7, E111&gt;= 0.85,$L$8, E111&gt;= 0.8,$L$9, E111&gt;= 0.75,$L$10, E111 &gt;= 0.7, $L$11, E111&gt;= 0.65, $L$12, E111&gt;= 0.6, $L$13, E111&gt;= 0.55,$L$14, E111 &gt;= 0.5,$L$15)</f>
        <v>0.55172413793103448</v>
      </c>
    </row>
    <row r="112" spans="1:8" ht="24" x14ac:dyDescent="0.25">
      <c r="A112" s="110" t="s">
        <v>36</v>
      </c>
      <c r="B112" s="110" t="s">
        <v>191</v>
      </c>
      <c r="C112" s="110">
        <v>-10</v>
      </c>
      <c r="D112" s="110" t="b">
        <v>1</v>
      </c>
      <c r="E112" s="110">
        <v>0.89249999999999996</v>
      </c>
      <c r="F112" s="112" t="s">
        <v>15</v>
      </c>
      <c r="G112" s="111">
        <v>45997</v>
      </c>
      <c r="H112" s="62" cm="1">
        <f t="array" ref="H112">_xlfn.IFS(E112 = 1,$L$3,E112&gt;=0.99,$L$4, E112&gt;=0.95,$L$5, E112&gt;= 0.93, $L$6, E112&gt;= 0.9,$L$7, E112&gt;= 0.85,$L$8, E112&gt;= 0.8,$L$9, E112&gt;= 0.75,$L$10, E112 &gt;= 0.7, $L$11, E112&gt;= 0.65, $L$12, E112&gt;= 0.6, $L$13, E112&gt;= 0.55,$L$14, E112 &gt;= 0.5,$L$15)</f>
        <v>0.61290322580645162</v>
      </c>
    </row>
    <row r="113" spans="1:8" ht="24" x14ac:dyDescent="0.25">
      <c r="A113" s="110" t="s">
        <v>90</v>
      </c>
      <c r="B113" s="110" t="s">
        <v>158</v>
      </c>
      <c r="C113" s="110">
        <v>-6</v>
      </c>
      <c r="D113" s="110" t="b">
        <v>1</v>
      </c>
      <c r="E113" s="110">
        <v>0.85750000000000004</v>
      </c>
      <c r="F113" s="112" t="s">
        <v>15</v>
      </c>
      <c r="G113" s="111">
        <v>45997</v>
      </c>
      <c r="H113" s="62" cm="1">
        <f t="array" ref="H113">_xlfn.IFS(E113 = 1,$L$3,E113&gt;=0.99,$L$4, E113&gt;=0.95,$L$5, E113&gt;= 0.93, $L$6, E113&gt;= 0.9,$L$7, E113&gt;= 0.85,$L$8, E113&gt;= 0.8,$L$9, E113&gt;= 0.75,$L$10, E113 &gt;= 0.7, $L$11, E113&gt;= 0.65, $L$12, E113&gt;= 0.6, $L$13, E113&gt;= 0.55,$L$14, E113 &gt;= 0.5,$L$15)</f>
        <v>0.61290322580645162</v>
      </c>
    </row>
    <row r="114" spans="1:8" ht="24" x14ac:dyDescent="0.25">
      <c r="A114" s="110" t="s">
        <v>45</v>
      </c>
      <c r="B114" s="110" t="s">
        <v>203</v>
      </c>
      <c r="C114" s="110">
        <v>-5.5</v>
      </c>
      <c r="D114" s="110" t="b">
        <v>1</v>
      </c>
      <c r="E114" s="110">
        <v>0.85</v>
      </c>
      <c r="F114" s="112" t="s">
        <v>15</v>
      </c>
      <c r="G114" s="111">
        <v>45997</v>
      </c>
      <c r="H114" s="62" cm="1">
        <f t="array" ref="H114">_xlfn.IFS(E114 = 1,$L$3,E114&gt;=0.99,$L$4, E114&gt;=0.95,$L$5, E114&gt;= 0.93, $L$6, E114&gt;= 0.9,$L$7, E114&gt;= 0.85,$L$8, E114&gt;= 0.8,$L$9, E114&gt;= 0.75,$L$10, E114 &gt;= 0.7, $L$11, E114&gt;= 0.65, $L$12, E114&gt;= 0.6, $L$13, E114&gt;= 0.55,$L$14, E114 &gt;= 0.5,$L$15)</f>
        <v>0.61290322580645162</v>
      </c>
    </row>
    <row r="115" spans="1:8" ht="24" x14ac:dyDescent="0.25">
      <c r="A115" s="110" t="s">
        <v>219</v>
      </c>
      <c r="B115" s="110" t="s">
        <v>253</v>
      </c>
      <c r="C115" s="110">
        <v>-4</v>
      </c>
      <c r="D115" s="110" t="b">
        <v>1</v>
      </c>
      <c r="E115" s="110">
        <v>0.82250000000000001</v>
      </c>
      <c r="F115" s="112" t="s">
        <v>15</v>
      </c>
      <c r="G115" s="111">
        <v>45997</v>
      </c>
      <c r="H115" s="62" cm="1">
        <f t="array" ref="H115">_xlfn.IFS(E115 = 1,$L$3,E115&gt;=0.99,$L$4, E115&gt;=0.95,$L$5, E115&gt;= 0.93, $L$6, E115&gt;= 0.9,$L$7, E115&gt;= 0.85,$L$8, E115&gt;= 0.8,$L$9, E115&gt;= 0.75,$L$10, E115 &gt;= 0.7, $L$11, E115&gt;= 0.65, $L$12, E115&gt;= 0.6, $L$13, E115&gt;= 0.55,$L$14, E115 &gt;= 0.5,$L$15)</f>
        <v>0.54166666666666663</v>
      </c>
    </row>
    <row r="116" spans="1:8" ht="24" x14ac:dyDescent="0.25">
      <c r="A116" s="110" t="s">
        <v>334</v>
      </c>
      <c r="B116" s="110" t="s">
        <v>88</v>
      </c>
      <c r="C116" s="110">
        <v>-6.5</v>
      </c>
      <c r="D116" s="110" t="b">
        <v>1</v>
      </c>
      <c r="E116" s="110">
        <v>0.8125</v>
      </c>
      <c r="F116" s="112" t="s">
        <v>15</v>
      </c>
      <c r="G116" s="111">
        <v>45997</v>
      </c>
      <c r="H116" s="62" cm="1">
        <f t="array" ref="H116">_xlfn.IFS(E116 = 1,$L$3,E116&gt;=0.99,$L$4, E116&gt;=0.95,$L$5, E116&gt;= 0.93, $L$6, E116&gt;= 0.9,$L$7, E116&gt;= 0.85,$L$8, E116&gt;= 0.8,$L$9, E116&gt;= 0.75,$L$10, E116 &gt;= 0.7, $L$11, E116&gt;= 0.65, $L$12, E116&gt;= 0.6, $L$13, E116&gt;= 0.55,$L$14, E116 &gt;= 0.5,$L$15)</f>
        <v>0.54166666666666663</v>
      </c>
    </row>
    <row r="117" spans="1:8" ht="24" x14ac:dyDescent="0.25">
      <c r="A117" s="110" t="s">
        <v>337</v>
      </c>
      <c r="B117" s="110" t="s">
        <v>108</v>
      </c>
      <c r="C117" s="110">
        <v>-6</v>
      </c>
      <c r="D117" s="110" t="b">
        <v>1</v>
      </c>
      <c r="E117" s="110">
        <v>0.80249999999999999</v>
      </c>
      <c r="F117" s="112" t="s">
        <v>18</v>
      </c>
      <c r="G117" s="111">
        <v>45997</v>
      </c>
      <c r="H117" s="62" cm="1">
        <f t="array" ref="H117">_xlfn.IFS(E117 = 1,$L$3,E117&gt;=0.99,$L$4, E117&gt;=0.95,$L$5, E117&gt;= 0.93, $L$6, E117&gt;= 0.9,$L$7, E117&gt;= 0.85,$L$8, E117&gt;= 0.8,$L$9, E117&gt;= 0.75,$L$10, E117 &gt;= 0.7, $L$11, E117&gt;= 0.65, $L$12, E117&gt;= 0.6, $L$13, E117&gt;= 0.55,$L$14, E117 &gt;= 0.5,$L$15)</f>
        <v>0.54166666666666663</v>
      </c>
    </row>
    <row r="118" spans="1:8" ht="24" x14ac:dyDescent="0.25">
      <c r="A118" s="110" t="s">
        <v>313</v>
      </c>
      <c r="B118" s="110" t="s">
        <v>233</v>
      </c>
      <c r="C118" s="110">
        <v>-5</v>
      </c>
      <c r="D118" s="110" t="b">
        <v>1</v>
      </c>
      <c r="E118" s="110">
        <v>0.78</v>
      </c>
      <c r="F118" s="112" t="s">
        <v>18</v>
      </c>
      <c r="G118" s="111">
        <v>45997</v>
      </c>
      <c r="H118" s="62" cm="1">
        <f t="array" ref="H118">_xlfn.IFS(E118 = 1,$L$3,E118&gt;=0.99,$L$4, E118&gt;=0.95,$L$5, E118&gt;= 0.93, $L$6, E118&gt;= 0.9,$L$7, E118&gt;= 0.85,$L$8, E118&gt;= 0.8,$L$9, E118&gt;= 0.75,$L$10, E118 &gt;= 0.7, $L$11, E118&gt;= 0.65, $L$12, E118&gt;= 0.6, $L$13, E118&gt;= 0.55,$L$14, E118 &gt;= 0.5,$L$15)</f>
        <v>0.42105263157894735</v>
      </c>
    </row>
    <row r="119" spans="1:8" ht="24" x14ac:dyDescent="0.25">
      <c r="A119" s="110" t="s">
        <v>362</v>
      </c>
      <c r="B119" s="110" t="s">
        <v>67</v>
      </c>
      <c r="C119" s="110">
        <v>-4</v>
      </c>
      <c r="D119" s="110" t="b">
        <v>1</v>
      </c>
      <c r="E119" s="110">
        <v>0.755</v>
      </c>
      <c r="F119" s="112" t="s">
        <v>18</v>
      </c>
      <c r="G119" s="111">
        <v>45997</v>
      </c>
      <c r="H119" s="62" cm="1">
        <f t="array" ref="H119">_xlfn.IFS(E119 = 1,$L$3,E119&gt;=0.99,$L$4, E119&gt;=0.95,$L$5, E119&gt;= 0.93, $L$6, E119&gt;= 0.9,$L$7, E119&gt;= 0.85,$L$8, E119&gt;= 0.8,$L$9, E119&gt;= 0.75,$L$10, E119 &gt;= 0.7, $L$11, E119&gt;= 0.65, $L$12, E119&gt;= 0.6, $L$13, E119&gt;= 0.55,$L$14, E119 &gt;= 0.5,$L$15)</f>
        <v>0.42105263157894735</v>
      </c>
    </row>
    <row r="120" spans="1:8" ht="24" x14ac:dyDescent="0.25">
      <c r="A120" s="110" t="s">
        <v>130</v>
      </c>
      <c r="B120" s="110" t="s">
        <v>316</v>
      </c>
      <c r="C120" s="110">
        <v>-2.5</v>
      </c>
      <c r="D120" s="110" t="b">
        <v>1</v>
      </c>
      <c r="E120" s="110">
        <v>0.69</v>
      </c>
      <c r="F120" s="112" t="s">
        <v>18</v>
      </c>
      <c r="G120" s="111">
        <v>45997</v>
      </c>
      <c r="H120" s="62" cm="1">
        <f t="array" ref="H120">_xlfn.IFS(E120 = 1,$L$3,E120&gt;=0.99,$L$4, E120&gt;=0.95,$L$5, E120&gt;= 0.93, $L$6, E120&gt;= 0.9,$L$7, E120&gt;= 0.85,$L$8, E120&gt;= 0.8,$L$9, E120&gt;= 0.75,$L$10, E120 &gt;= 0.7, $L$11, E120&gt;= 0.65, $L$12, E120&gt;= 0.6, $L$13, E120&gt;= 0.55,$L$14, E120 &gt;= 0.5,$L$15)</f>
        <v>0.40909090909090912</v>
      </c>
    </row>
    <row r="121" spans="1:8" ht="24" x14ac:dyDescent="0.25">
      <c r="A121" s="110" t="s">
        <v>150</v>
      </c>
      <c r="B121" s="110" t="s">
        <v>232</v>
      </c>
      <c r="C121" s="110">
        <v>-4</v>
      </c>
      <c r="D121" s="110" t="b">
        <v>1</v>
      </c>
      <c r="E121" s="110">
        <v>0.67749999999999999</v>
      </c>
      <c r="F121" s="112" t="s">
        <v>18</v>
      </c>
      <c r="G121" s="111">
        <v>45997</v>
      </c>
      <c r="H121" s="62" cm="1">
        <f t="array" ref="H121">_xlfn.IFS(E121 = 1,$L$3,E121&gt;=0.99,$L$4, E121&gt;=0.95,$L$5, E121&gt;= 0.93, $L$6, E121&gt;= 0.9,$L$7, E121&gt;= 0.85,$L$8, E121&gt;= 0.8,$L$9, E121&gt;= 0.75,$L$10, E121 &gt;= 0.7, $L$11, E121&gt;= 0.65, $L$12, E121&gt;= 0.6, $L$13, E121&gt;= 0.55,$L$14, E121 &gt;= 0.5,$L$15)</f>
        <v>0.40909090909090912</v>
      </c>
    </row>
    <row r="122" spans="1:8" ht="24" x14ac:dyDescent="0.25">
      <c r="A122" s="110" t="s">
        <v>321</v>
      </c>
      <c r="B122" s="110" t="s">
        <v>79</v>
      </c>
      <c r="C122" s="110">
        <v>-3</v>
      </c>
      <c r="D122" s="110" t="b">
        <v>1</v>
      </c>
      <c r="E122" s="110">
        <v>0.67249999999999999</v>
      </c>
      <c r="F122" t="s">
        <v>18</v>
      </c>
      <c r="G122" s="111">
        <v>45997</v>
      </c>
      <c r="H122" s="62" cm="1">
        <f t="array" ref="H122">_xlfn.IFS(E122 = 1,$L$3,E122&gt;=0.99,$L$4, E122&gt;=0.95,$L$5, E122&gt;= 0.93, $L$6, E122&gt;= 0.9,$L$7, E122&gt;= 0.85,$L$8, E122&gt;= 0.8,$L$9, E122&gt;= 0.75,$L$10, E122 &gt;= 0.7, $L$11, E122&gt;= 0.65, $L$12, E122&gt;= 0.6, $L$13, E122&gt;= 0.55,$L$14, E122 &gt;= 0.5,$L$15)</f>
        <v>0.40909090909090912</v>
      </c>
    </row>
    <row r="123" spans="1:8" ht="24" x14ac:dyDescent="0.25">
      <c r="A123" s="110" t="s">
        <v>213</v>
      </c>
      <c r="B123" s="110" t="s">
        <v>249</v>
      </c>
      <c r="C123" s="110">
        <v>-3.5</v>
      </c>
      <c r="D123" s="110" t="b">
        <v>1</v>
      </c>
      <c r="E123" s="110">
        <v>0.66749999999999998</v>
      </c>
      <c r="F123" s="112" t="s">
        <v>15</v>
      </c>
      <c r="G123" s="111">
        <v>45997</v>
      </c>
      <c r="H123" s="62" cm="1">
        <f t="array" ref="H123">_xlfn.IFS(E123 = 1,$L$3,E123&gt;=0.99,$L$4, E123&gt;=0.95,$L$5, E123&gt;= 0.93, $L$6, E123&gt;= 0.9,$L$7, E123&gt;= 0.85,$L$8, E123&gt;= 0.8,$L$9, E123&gt;= 0.75,$L$10, E123 &gt;= 0.7, $L$11, E123&gt;= 0.65, $L$12, E123&gt;= 0.6, $L$13, E123&gt;= 0.55,$L$14, E123 &gt;= 0.5,$L$15)</f>
        <v>0.40909090909090912</v>
      </c>
    </row>
    <row r="124" spans="1:8" ht="24" x14ac:dyDescent="0.25">
      <c r="A124" s="110" t="s">
        <v>81</v>
      </c>
      <c r="B124" s="110" t="s">
        <v>351</v>
      </c>
      <c r="C124" s="110">
        <v>-3</v>
      </c>
      <c r="D124" s="110" t="b">
        <v>1</v>
      </c>
      <c r="E124" s="110">
        <v>0.61499999999999999</v>
      </c>
      <c r="F124" s="112" t="s">
        <v>15</v>
      </c>
      <c r="G124" s="111">
        <v>45997</v>
      </c>
      <c r="H124" s="62" cm="1">
        <f t="array" ref="H124">_xlfn.IFS(E124 = 1,$L$3,E124&gt;=0.99,$L$4, E124&gt;=0.95,$L$5, E124&gt;= 0.93, $L$6, E124&gt;= 0.9,$L$7, E124&gt;= 0.85,$L$8, E124&gt;= 0.8,$L$9, E124&gt;= 0.75,$L$10, E124 &gt;= 0.7, $L$11, E124&gt;= 0.65, $L$12, E124&gt;= 0.6, $L$13, E124&gt;= 0.55,$L$14, E124 &gt;= 0.5,$L$15)</f>
        <v>0.6875</v>
      </c>
    </row>
    <row r="125" spans="1:8" ht="24" x14ac:dyDescent="0.25">
      <c r="A125" s="110" t="s">
        <v>236</v>
      </c>
      <c r="B125" s="110" t="s">
        <v>247</v>
      </c>
      <c r="C125" s="110">
        <v>-4.5</v>
      </c>
      <c r="D125" s="110" t="b">
        <v>1</v>
      </c>
      <c r="E125" s="110">
        <v>0.5625</v>
      </c>
      <c r="F125" t="s">
        <v>18</v>
      </c>
      <c r="G125" s="111">
        <v>45997</v>
      </c>
      <c r="H125" s="62" cm="1">
        <f t="array" ref="H125">_xlfn.IFS(E125 = 1,$L$3,E125&gt;=0.99,$L$4, E125&gt;=0.95,$L$5, E125&gt;= 0.93, $L$6, E125&gt;= 0.9,$L$7, E125&gt;= 0.85,$L$8, E125&gt;= 0.8,$L$9, E125&gt;= 0.75,$L$10, E125 &gt;= 0.7, $L$11, E125&gt;= 0.65, $L$12, E125&gt;= 0.6, $L$13, E125&gt;= 0.55,$L$14, E125 &gt;= 0.5,$L$15)</f>
        <v>0.4375</v>
      </c>
    </row>
    <row r="126" spans="1:8" ht="24" x14ac:dyDescent="0.25">
      <c r="A126" s="110" t="s">
        <v>290</v>
      </c>
      <c r="B126" s="110" t="s">
        <v>176</v>
      </c>
      <c r="C126" s="110">
        <v>-1.5</v>
      </c>
      <c r="D126" s="110" t="b">
        <v>1</v>
      </c>
      <c r="E126" s="110">
        <v>0.52249999999999996</v>
      </c>
      <c r="F126" t="s">
        <v>18</v>
      </c>
      <c r="G126" s="111">
        <v>45997</v>
      </c>
      <c r="H126" s="62" cm="1">
        <f t="array" ref="H126">_xlfn.IFS(E126 = 1,$L$3,E126&gt;=0.99,$L$4, E126&gt;=0.95,$L$5, E126&gt;= 0.93, $L$6, E126&gt;= 0.9,$L$7, E126&gt;= 0.85,$L$8, E126&gt;= 0.8,$L$9, E126&gt;= 0.75,$L$10, E126 &gt;= 0.7, $L$11, E126&gt;= 0.65, $L$12, E126&gt;= 0.6, $L$13, E126&gt;= 0.55,$L$14, E126 &gt;= 0.5,$L$15)</f>
        <v>0.38461538461538464</v>
      </c>
    </row>
    <row r="127" spans="1:8" ht="24" x14ac:dyDescent="0.25">
      <c r="A127" s="110" t="s">
        <v>234</v>
      </c>
      <c r="B127" s="110" t="s">
        <v>328</v>
      </c>
      <c r="C127" s="110">
        <v>-1.5</v>
      </c>
      <c r="D127" s="110" t="b">
        <v>1</v>
      </c>
      <c r="E127" s="110">
        <v>0.50749999999999995</v>
      </c>
      <c r="F127" t="s">
        <v>18</v>
      </c>
      <c r="G127" s="111">
        <v>45997</v>
      </c>
      <c r="H127" s="62" cm="1">
        <f t="array" ref="H127">_xlfn.IFS(E127 = 1,$L$3,E127&gt;=0.99,$L$4, E127&gt;=0.95,$L$5, E127&gt;= 0.93, $L$6, E127&gt;= 0.9,$L$7, E127&gt;= 0.85,$L$8, E127&gt;= 0.8,$L$9, E127&gt;= 0.75,$L$10, E127 &gt;= 0.7, $L$11, E127&gt;= 0.65, $L$12, E127&gt;= 0.6, $L$13, E127&gt;= 0.55,$L$14, E127 &gt;= 0.5,$L$15)</f>
        <v>0.38461538461538464</v>
      </c>
    </row>
    <row r="128" spans="1:8" ht="24" x14ac:dyDescent="0.25">
      <c r="A128" s="110" t="s">
        <v>318</v>
      </c>
      <c r="B128" s="110" t="s">
        <v>14</v>
      </c>
      <c r="C128" s="110">
        <v>-2</v>
      </c>
      <c r="D128" s="110" t="b">
        <v>0</v>
      </c>
      <c r="E128" s="110">
        <v>0.505</v>
      </c>
      <c r="F128" t="s">
        <v>15</v>
      </c>
      <c r="G128" s="111">
        <v>45997</v>
      </c>
      <c r="H128" s="62" cm="1">
        <f t="array" ref="H128">_xlfn.IFS(E128 = 1,$L$3,E128&gt;=0.99,$L$4, E128&gt;=0.95,$L$5, E128&gt;= 0.93, $L$6, E128&gt;= 0.9,$L$7, E128&gt;= 0.85,$L$8, E128&gt;= 0.8,$L$9, E128&gt;= 0.75,$L$10, E128 &gt;= 0.7, $L$11, E128&gt;= 0.65, $L$12, E128&gt;= 0.6, $L$13, E128&gt;= 0.55,$L$14, E128 &gt;= 0.5,$L$15)</f>
        <v>0.38461538461538464</v>
      </c>
    </row>
    <row r="129" spans="1:8" ht="24" x14ac:dyDescent="0.25">
      <c r="A129" t="s">
        <v>159</v>
      </c>
      <c r="B129" t="s">
        <v>238</v>
      </c>
      <c r="C129">
        <v>-18.5</v>
      </c>
      <c r="D129" t="b">
        <v>1</v>
      </c>
      <c r="E129" s="59">
        <v>1</v>
      </c>
      <c r="F129" s="108" t="s">
        <v>15</v>
      </c>
      <c r="G129" s="22">
        <v>45996</v>
      </c>
      <c r="H129" s="62" cm="1">
        <f t="array" ref="H129">_xlfn.IFS(E129 = 1,$L$3,E129&gt;=0.99,$L$4, E129&gt;=0.95,$L$5, E129&gt;= 0.93, $L$6, E129&gt;= 0.9,$L$7, E129&gt;= 0.85,$L$8, E129&gt;= 0.8,$L$9, E129&gt;= 0.75,$L$10, E129 &gt;= 0.7, $L$11, E129&gt;= 0.65, $L$12, E129&gt;= 0.6, $L$13, E129&gt;= 0.55,$L$14, E129 &gt;= 0.5,$L$15)</f>
        <v>0.56060606060606055</v>
      </c>
    </row>
    <row r="130" spans="1:8" ht="24" x14ac:dyDescent="0.25">
      <c r="A130" t="s">
        <v>259</v>
      </c>
      <c r="B130" t="s">
        <v>23</v>
      </c>
      <c r="C130">
        <v>-26.5</v>
      </c>
      <c r="D130" t="b">
        <v>1</v>
      </c>
      <c r="E130" s="59">
        <v>0.99750000000000005</v>
      </c>
      <c r="F130" s="108" t="s">
        <v>18</v>
      </c>
      <c r="G130" s="22">
        <v>45996</v>
      </c>
      <c r="H130" s="62" cm="1">
        <f t="array" ref="H130">_xlfn.IFS(E130 = 1,$L$3,E130&gt;=0.99,$L$4, E130&gt;=0.95,$L$5, E130&gt;= 0.93, $L$6, E130&gt;= 0.9,$L$7, E130&gt;= 0.85,$L$8, E130&gt;= 0.8,$L$9, E130&gt;= 0.75,$L$10, E130 &gt;= 0.7, $L$11, E130&gt;= 0.65, $L$12, E130&gt;= 0.6, $L$13, E130&gt;= 0.55,$L$14, E130 &gt;= 0.5,$L$15)</f>
        <v>0.484375</v>
      </c>
    </row>
    <row r="131" spans="1:8" ht="24" x14ac:dyDescent="0.25">
      <c r="A131" t="s">
        <v>184</v>
      </c>
      <c r="B131" t="s">
        <v>185</v>
      </c>
      <c r="C131">
        <v>-14.5</v>
      </c>
      <c r="D131" t="b">
        <v>1</v>
      </c>
      <c r="E131" s="59">
        <v>0.995</v>
      </c>
      <c r="F131" s="108" t="s">
        <v>15</v>
      </c>
      <c r="G131" s="22">
        <v>45996</v>
      </c>
      <c r="H131" s="62" cm="1">
        <f t="array" ref="H131">_xlfn.IFS(E131 = 1,$L$3,E131&gt;=0.99,$L$4, E131&gt;=0.95,$L$5, E131&gt;= 0.93, $L$6, E131&gt;= 0.9,$L$7, E131&gt;= 0.85,$L$8, E131&gt;= 0.8,$L$9, E131&gt;= 0.75,$L$10, E131 &gt;= 0.7, $L$11, E131&gt;= 0.65, $L$12, E131&gt;= 0.6, $L$13, E131&gt;= 0.55,$L$14, E131 &gt;= 0.5,$L$15)</f>
        <v>0.484375</v>
      </c>
    </row>
    <row r="132" spans="1:8" ht="24" x14ac:dyDescent="0.25">
      <c r="A132" t="s">
        <v>217</v>
      </c>
      <c r="B132" t="s">
        <v>214</v>
      </c>
      <c r="C132">
        <v>-7.5</v>
      </c>
      <c r="D132" t="b">
        <v>1</v>
      </c>
      <c r="E132" s="59">
        <v>0.98</v>
      </c>
      <c r="F132" s="108" t="s">
        <v>18</v>
      </c>
      <c r="G132" s="22">
        <v>45996</v>
      </c>
      <c r="H132" s="62" cm="1">
        <f t="array" ref="H132">_xlfn.IFS(E132 = 1,$L$3,E132&gt;=0.99,$L$4, E132&gt;=0.95,$L$5, E132&gt;= 0.93, $L$6, E132&gt;= 0.9,$L$7, E132&gt;= 0.85,$L$8, E132&gt;= 0.8,$L$9, E132&gt;= 0.75,$L$10, E132 &gt;= 0.7, $L$11, E132&gt;= 0.65, $L$12, E132&gt;= 0.6, $L$13, E132&gt;= 0.55,$L$14, E132 &gt;= 0.5,$L$15)</f>
        <v>0.4838709677419355</v>
      </c>
    </row>
    <row r="133" spans="1:8" ht="24" x14ac:dyDescent="0.25">
      <c r="A133" t="s">
        <v>27</v>
      </c>
      <c r="B133" t="s">
        <v>96</v>
      </c>
      <c r="C133">
        <v>-5.5</v>
      </c>
      <c r="D133" t="b">
        <v>1</v>
      </c>
      <c r="E133" s="59">
        <v>0.88500000000000001</v>
      </c>
      <c r="F133" s="108" t="s">
        <v>15</v>
      </c>
      <c r="G133" s="22">
        <v>45996</v>
      </c>
      <c r="H133" s="62" cm="1">
        <f t="array" ref="H133">_xlfn.IFS(E133 = 1,$L$3,E133&gt;=0.99,$L$4, E133&gt;=0.95,$L$5, E133&gt;= 0.93, $L$6, E133&gt;= 0.9,$L$7, E133&gt;= 0.85,$L$8, E133&gt;= 0.8,$L$9, E133&gt;= 0.75,$L$10, E133 &gt;= 0.7, $L$11, E133&gt;= 0.65, $L$12, E133&gt;= 0.6, $L$13, E133&gt;= 0.55,$L$14, E133 &gt;= 0.5,$L$15)</f>
        <v>0.61290322580645162</v>
      </c>
    </row>
    <row r="134" spans="1:8" ht="24" x14ac:dyDescent="0.25">
      <c r="A134" t="s">
        <v>84</v>
      </c>
      <c r="B134" t="s">
        <v>31</v>
      </c>
      <c r="C134">
        <v>-5</v>
      </c>
      <c r="D134" t="b">
        <v>1</v>
      </c>
      <c r="E134" s="59">
        <v>0.82499999999999996</v>
      </c>
      <c r="F134" s="108" t="s">
        <v>15</v>
      </c>
      <c r="G134" s="22">
        <v>45996</v>
      </c>
      <c r="H134" s="62" cm="1">
        <f t="array" ref="H134">_xlfn.IFS(E134 = 1,$L$3,E134&gt;=0.99,$L$4, E134&gt;=0.95,$L$5, E134&gt;= 0.93, $L$6, E134&gt;= 0.9,$L$7, E134&gt;= 0.85,$L$8, E134&gt;= 0.8,$L$9, E134&gt;= 0.75,$L$10, E134 &gt;= 0.7, $L$11, E134&gt;= 0.65, $L$12, E134&gt;= 0.6, $L$13, E134&gt;= 0.55,$L$14, E134 &gt;= 0.5,$L$15)</f>
        <v>0.54166666666666663</v>
      </c>
    </row>
    <row r="135" spans="1:8" ht="24" x14ac:dyDescent="0.25">
      <c r="A135" t="s">
        <v>28</v>
      </c>
      <c r="B135" t="s">
        <v>286</v>
      </c>
      <c r="C135">
        <v>-7.5</v>
      </c>
      <c r="D135" t="b">
        <v>1</v>
      </c>
      <c r="E135" s="59">
        <v>0.8125</v>
      </c>
      <c r="F135" s="108" t="s">
        <v>15</v>
      </c>
      <c r="G135" s="22">
        <v>45996</v>
      </c>
      <c r="H135" s="62" cm="1">
        <f t="array" ref="H135">_xlfn.IFS(E135 = 1,$L$3,E135&gt;=0.99,$L$4, E135&gt;=0.95,$L$5, E135&gt;= 0.93, $L$6, E135&gt;= 0.9,$L$7, E135&gt;= 0.85,$L$8, E135&gt;= 0.8,$L$9, E135&gt;= 0.75,$L$10, E135 &gt;= 0.7, $L$11, E135&gt;= 0.65, $L$12, E135&gt;= 0.6, $L$13, E135&gt;= 0.55,$L$14, E135 &gt;= 0.5,$L$15)</f>
        <v>0.54166666666666663</v>
      </c>
    </row>
    <row r="136" spans="1:8" ht="24" x14ac:dyDescent="0.25">
      <c r="A136" t="s">
        <v>241</v>
      </c>
      <c r="B136" t="s">
        <v>190</v>
      </c>
      <c r="C136">
        <v>-2.5</v>
      </c>
      <c r="D136" t="b">
        <v>1</v>
      </c>
      <c r="E136" s="59">
        <v>0.81</v>
      </c>
      <c r="F136" s="108" t="s">
        <v>18</v>
      </c>
      <c r="G136" s="22">
        <v>45996</v>
      </c>
      <c r="H136" s="62" cm="1">
        <f t="array" ref="H136">_xlfn.IFS(E136 = 1,$L$3,E136&gt;=0.99,$L$4, E136&gt;=0.95,$L$5, E136&gt;= 0.93, $L$6, E136&gt;= 0.9,$L$7, E136&gt;= 0.85,$L$8, E136&gt;= 0.8,$L$9, E136&gt;= 0.75,$L$10, E136 &gt;= 0.7, $L$11, E136&gt;= 0.65, $L$12, E136&gt;= 0.6, $L$13, E136&gt;= 0.55,$L$14, E136 &gt;= 0.5,$L$15)</f>
        <v>0.54166666666666663</v>
      </c>
    </row>
    <row r="137" spans="1:8" ht="24" x14ac:dyDescent="0.25">
      <c r="A137" t="s">
        <v>171</v>
      </c>
      <c r="B137" t="s">
        <v>43</v>
      </c>
      <c r="C137">
        <v>-1.5</v>
      </c>
      <c r="D137" t="b">
        <v>1</v>
      </c>
      <c r="E137" s="59">
        <v>0.72</v>
      </c>
      <c r="F137" s="108" t="s">
        <v>15</v>
      </c>
      <c r="G137" s="22">
        <v>45996</v>
      </c>
      <c r="H137" s="62" cm="1">
        <f t="array" ref="H137">_xlfn.IFS(E137 = 1,$L$3,E137&gt;=0.99,$L$4, E137&gt;=0.95,$L$5, E137&gt;= 0.93, $L$6, E137&gt;= 0.9,$L$7, E137&gt;= 0.85,$L$8, E137&gt;= 0.8,$L$9, E137&gt;= 0.75,$L$10, E137 &gt;= 0.7, $L$11, E137&gt;= 0.65, $L$12, E137&gt;= 0.6, $L$13, E137&gt;= 0.55,$L$14, E137 &gt;= 0.5,$L$15)</f>
        <v>0.66666666666666663</v>
      </c>
    </row>
    <row r="138" spans="1:8" ht="24" x14ac:dyDescent="0.25">
      <c r="A138" t="s">
        <v>182</v>
      </c>
      <c r="B138" t="s">
        <v>282</v>
      </c>
      <c r="C138">
        <v>-8</v>
      </c>
      <c r="D138" t="b">
        <v>1</v>
      </c>
      <c r="E138" s="59">
        <v>0.7</v>
      </c>
      <c r="F138" s="108" t="s">
        <v>15</v>
      </c>
      <c r="G138" s="22">
        <v>45996</v>
      </c>
      <c r="H138" s="62" cm="1">
        <f t="array" ref="H138">_xlfn.IFS(E138 = 1,$L$3,E138&gt;=0.99,$L$4, E138&gt;=0.95,$L$5, E138&gt;= 0.93, $L$6, E138&gt;= 0.9,$L$7, E138&gt;= 0.85,$L$8, E138&gt;= 0.8,$L$9, E138&gt;= 0.75,$L$10, E138 &gt;= 0.7, $L$11, E138&gt;= 0.65, $L$12, E138&gt;= 0.6, $L$13, E138&gt;= 0.55,$L$14, E138 &gt;= 0.5,$L$15)</f>
        <v>0.66666666666666663</v>
      </c>
    </row>
    <row r="139" spans="1:8" ht="24" x14ac:dyDescent="0.25">
      <c r="A139" t="s">
        <v>202</v>
      </c>
      <c r="B139" t="s">
        <v>314</v>
      </c>
      <c r="C139">
        <v>-2</v>
      </c>
      <c r="D139" t="b">
        <v>1</v>
      </c>
      <c r="E139" s="59">
        <v>0.65249999999999997</v>
      </c>
      <c r="F139" s="108" t="s">
        <v>18</v>
      </c>
      <c r="G139" s="22">
        <v>45996</v>
      </c>
      <c r="H139" s="62" cm="1">
        <f t="array" ref="H139">_xlfn.IFS(E139 = 1,$L$3,E139&gt;=0.99,$L$4, E139&gt;=0.95,$L$5, E139&gt;= 0.93, $L$6, E139&gt;= 0.9,$L$7, E139&gt;= 0.85,$L$8, E139&gt;= 0.8,$L$9, E139&gt;= 0.75,$L$10, E139 &gt;= 0.7, $L$11, E139&gt;= 0.65, $L$12, E139&gt;= 0.6, $L$13, E139&gt;= 0.55,$L$14, E139 &gt;= 0.5,$L$15)</f>
        <v>0.40909090909090912</v>
      </c>
    </row>
    <row r="140" spans="1:8" ht="24" x14ac:dyDescent="0.25">
      <c r="A140" s="105" t="s">
        <v>337</v>
      </c>
      <c r="B140" s="105" t="s">
        <v>357</v>
      </c>
      <c r="C140" s="105">
        <v>-13</v>
      </c>
      <c r="D140" s="105" t="b">
        <v>1</v>
      </c>
      <c r="E140" s="105">
        <v>0.98250000000000004</v>
      </c>
      <c r="F140" s="104" t="s">
        <v>52</v>
      </c>
      <c r="G140" s="106">
        <v>45995</v>
      </c>
      <c r="H140" s="62" cm="1">
        <f t="array" ref="H140">_xlfn.IFS(E140 = 1,$L$3,E140&gt;=0.99,$L$4, E140&gt;=0.95,$L$5, E140&gt;= 0.93, $L$6, E140&gt;= 0.9,$L$7, E140&gt;= 0.85,$L$8, E140&gt;= 0.8,$L$9, E140&gt;= 0.75,$L$10, E140 &gt;= 0.7, $L$11, E140&gt;= 0.65, $L$12, E140&gt;= 0.6, $L$13, E140&gt;= 0.55,$L$14, E140 &gt;= 0.5,$L$15)</f>
        <v>0.4838709677419355</v>
      </c>
    </row>
    <row r="141" spans="1:8" ht="24" x14ac:dyDescent="0.25">
      <c r="A141" s="105" t="s">
        <v>225</v>
      </c>
      <c r="B141" s="105" t="s">
        <v>216</v>
      </c>
      <c r="C141" s="105">
        <v>-20.5</v>
      </c>
      <c r="D141" s="105" t="b">
        <v>1</v>
      </c>
      <c r="E141" s="105">
        <v>0.97750000000000004</v>
      </c>
      <c r="F141" s="104" t="s">
        <v>18</v>
      </c>
      <c r="G141" s="106">
        <v>45995</v>
      </c>
      <c r="H141" s="62" cm="1">
        <f t="array" ref="H141">_xlfn.IFS(E141 = 1,$L$3,E141&gt;=0.99,$L$4, E141&gt;=0.95,$L$5, E141&gt;= 0.93, $L$6, E141&gt;= 0.9,$L$7, E141&gt;= 0.85,$L$8, E141&gt;= 0.8,$L$9, E141&gt;= 0.75,$L$10, E141 &gt;= 0.7, $L$11, E141&gt;= 0.65, $L$12, E141&gt;= 0.6, $L$13, E141&gt;= 0.55,$L$14, E141 &gt;= 0.5,$L$15)</f>
        <v>0.4838709677419355</v>
      </c>
    </row>
    <row r="142" spans="1:8" ht="24" x14ac:dyDescent="0.25">
      <c r="A142" s="105" t="s">
        <v>188</v>
      </c>
      <c r="B142" s="105" t="s">
        <v>206</v>
      </c>
      <c r="C142" s="105">
        <v>-9.5</v>
      </c>
      <c r="D142" s="105" t="b">
        <v>1</v>
      </c>
      <c r="E142" s="105">
        <v>0.93500000000000005</v>
      </c>
      <c r="F142" s="104" t="s">
        <v>18</v>
      </c>
      <c r="G142" s="106">
        <v>45995</v>
      </c>
      <c r="H142" s="62" cm="1">
        <f t="array" ref="H142">_xlfn.IFS(E142 = 1,$L$3,E142&gt;=0.99,$L$4, E142&gt;=0.95,$L$5, E142&gt;= 0.93, $L$6, E142&gt;= 0.9,$L$7, E142&gt;= 0.85,$L$8, E142&gt;= 0.8,$L$9, E142&gt;= 0.75,$L$10, E142 &gt;= 0.7, $L$11, E142&gt;= 0.65, $L$12, E142&gt;= 0.6, $L$13, E142&gt;= 0.55,$L$14, E142 &gt;= 0.5,$L$15)</f>
        <v>0.29411764705882354</v>
      </c>
    </row>
    <row r="143" spans="1:8" ht="24" x14ac:dyDescent="0.25">
      <c r="A143" s="103" t="s">
        <v>318</v>
      </c>
      <c r="B143" s="96" t="s">
        <v>78</v>
      </c>
      <c r="C143" s="96">
        <v>-17.5</v>
      </c>
      <c r="D143" s="96" t="b">
        <v>1</v>
      </c>
      <c r="E143" s="98">
        <v>1</v>
      </c>
      <c r="F143" s="101" t="s">
        <v>18</v>
      </c>
      <c r="G143" s="97">
        <v>45994</v>
      </c>
      <c r="H143" s="62" cm="1">
        <f t="array" ref="H143">_xlfn.IFS(E143 = 1,$L$3,E143&gt;=0.99,$L$4, E143&gt;=0.95,$L$5, E143&gt;= 0.93, $L$6, E143&gt;= 0.9,$L$7, E143&gt;= 0.85,$L$8, E143&gt;= 0.8,$L$9, E143&gt;= 0.75,$L$10, E143 &gt;= 0.7, $L$11, E143&gt;= 0.65, $L$12, E143&gt;= 0.6, $L$13, E143&gt;= 0.55,$L$14, E143 &gt;= 0.5,$L$15)</f>
        <v>0.56060606060606055</v>
      </c>
    </row>
    <row r="144" spans="1:8" ht="24" x14ac:dyDescent="0.25">
      <c r="A144" s="96" t="s">
        <v>315</v>
      </c>
      <c r="B144" s="96" t="s">
        <v>362</v>
      </c>
      <c r="C144" s="96">
        <v>-40</v>
      </c>
      <c r="D144" s="96" t="b">
        <v>1</v>
      </c>
      <c r="E144" s="98">
        <v>0.99750000000000005</v>
      </c>
      <c r="F144" s="101" t="s">
        <v>15</v>
      </c>
      <c r="G144" s="97">
        <v>45994</v>
      </c>
      <c r="H144" s="62" cm="1">
        <f t="array" ref="H144">_xlfn.IFS(E144 = 1,$L$3,E144&gt;=0.99,$L$4, E144&gt;=0.95,$L$5, E144&gt;= 0.93, $L$6, E144&gt;= 0.9,$L$7, E144&gt;= 0.85,$L$8, E144&gt;= 0.8,$L$9, E144&gt;= 0.75,$L$10, E144 &gt;= 0.7, $L$11, E144&gt;= 0.65, $L$12, E144&gt;= 0.6, $L$13, E144&gt;= 0.55,$L$14, E144 &gt;= 0.5,$L$15)</f>
        <v>0.484375</v>
      </c>
    </row>
    <row r="145" spans="1:8" ht="24" x14ac:dyDescent="0.25">
      <c r="A145" s="96" t="s">
        <v>44</v>
      </c>
      <c r="B145" s="96" t="s">
        <v>92</v>
      </c>
      <c r="C145" s="96">
        <v>-19.5</v>
      </c>
      <c r="D145" s="96" t="b">
        <v>1</v>
      </c>
      <c r="E145" s="98">
        <v>0.99750000000000005</v>
      </c>
      <c r="F145" s="101" t="s">
        <v>18</v>
      </c>
      <c r="G145" s="97">
        <v>45994</v>
      </c>
      <c r="H145" s="62" cm="1">
        <f t="array" ref="H145">_xlfn.IFS(E145 = 1,$L$3,E145&gt;=0.99,$L$4, E145&gt;=0.95,$L$5, E145&gt;= 0.93, $L$6, E145&gt;= 0.9,$L$7, E145&gt;= 0.85,$L$8, E145&gt;= 0.8,$L$9, E145&gt;= 0.75,$L$10, E145 &gt;= 0.7, $L$11, E145&gt;= 0.65, $L$12, E145&gt;= 0.6, $L$13, E145&gt;= 0.55,$L$14, E145 &gt;= 0.5,$L$15)</f>
        <v>0.484375</v>
      </c>
    </row>
    <row r="146" spans="1:8" ht="24" x14ac:dyDescent="0.25">
      <c r="A146" s="96" t="s">
        <v>325</v>
      </c>
      <c r="B146" s="96" t="s">
        <v>222</v>
      </c>
      <c r="C146" s="96">
        <v>-16.5</v>
      </c>
      <c r="D146" s="96" t="b">
        <v>1</v>
      </c>
      <c r="E146" s="98">
        <v>0.99750000000000005</v>
      </c>
      <c r="F146" s="101" t="s">
        <v>18</v>
      </c>
      <c r="G146" s="97">
        <v>45994</v>
      </c>
      <c r="H146" s="62" cm="1">
        <f t="array" ref="H146">_xlfn.IFS(E146 = 1,$L$3,E146&gt;=0.99,$L$4, E146&gt;=0.95,$L$5, E146&gt;= 0.93, $L$6, E146&gt;= 0.9,$L$7, E146&gt;= 0.85,$L$8, E146&gt;= 0.8,$L$9, E146&gt;= 0.75,$L$10, E146 &gt;= 0.7, $L$11, E146&gt;= 0.65, $L$12, E146&gt;= 0.6, $L$13, E146&gt;= 0.55,$L$14, E146 &gt;= 0.5,$L$15)</f>
        <v>0.484375</v>
      </c>
    </row>
    <row r="147" spans="1:8" ht="24" x14ac:dyDescent="0.25">
      <c r="A147" s="96" t="s">
        <v>14</v>
      </c>
      <c r="B147" s="96" t="s">
        <v>273</v>
      </c>
      <c r="C147" s="96">
        <v>-22.5</v>
      </c>
      <c r="D147" s="96" t="b">
        <v>1</v>
      </c>
      <c r="E147" s="98">
        <v>0.995</v>
      </c>
      <c r="F147" s="101" t="s">
        <v>18</v>
      </c>
      <c r="G147" s="97">
        <v>45994</v>
      </c>
      <c r="H147" s="62" cm="1">
        <f t="array" ref="H147">_xlfn.IFS(E147 = 1,$L$3,E147&gt;=0.99,$L$4, E147&gt;=0.95,$L$5, E147&gt;= 0.93, $L$6, E147&gt;= 0.9,$L$7, E147&gt;= 0.85,$L$8, E147&gt;= 0.8,$L$9, E147&gt;= 0.75,$L$10, E147 &gt;= 0.7, $L$11, E147&gt;= 0.65, $L$12, E147&gt;= 0.6, $L$13, E147&gt;= 0.55,$L$14, E147 &gt;= 0.5,$L$15)</f>
        <v>0.484375</v>
      </c>
    </row>
    <row r="148" spans="1:8" ht="24" x14ac:dyDescent="0.25">
      <c r="A148" s="96" t="s">
        <v>280</v>
      </c>
      <c r="B148" s="96" t="s">
        <v>215</v>
      </c>
      <c r="C148" s="96">
        <v>-32</v>
      </c>
      <c r="D148" s="96" t="b">
        <v>1</v>
      </c>
      <c r="E148" s="98">
        <v>0.99250000000000005</v>
      </c>
      <c r="F148" s="101" t="s">
        <v>15</v>
      </c>
      <c r="G148" s="97">
        <v>45994</v>
      </c>
      <c r="H148" s="62" cm="1">
        <f t="array" ref="H148">_xlfn.IFS(E148 = 1,$L$3,E148&gt;=0.99,$L$4, E148&gt;=0.95,$L$5, E148&gt;= 0.93, $L$6, E148&gt;= 0.9,$L$7, E148&gt;= 0.85,$L$8, E148&gt;= 0.8,$L$9, E148&gt;= 0.75,$L$10, E148 &gt;= 0.7, $L$11, E148&gt;= 0.65, $L$12, E148&gt;= 0.6, $L$13, E148&gt;= 0.55,$L$14, E148 &gt;= 0.5,$L$15)</f>
        <v>0.484375</v>
      </c>
    </row>
    <row r="149" spans="1:8" ht="24" x14ac:dyDescent="0.25">
      <c r="A149" s="96" t="s">
        <v>93</v>
      </c>
      <c r="B149" s="96" t="s">
        <v>281</v>
      </c>
      <c r="C149" s="96">
        <v>-7.5</v>
      </c>
      <c r="D149" s="96" t="b">
        <v>1</v>
      </c>
      <c r="E149" s="98">
        <v>0.97250000000000003</v>
      </c>
      <c r="F149" s="101" t="s">
        <v>18</v>
      </c>
      <c r="G149" s="97">
        <v>45994</v>
      </c>
      <c r="H149" s="62" cm="1">
        <f t="array" ref="H149">_xlfn.IFS(E149 = 1,$L$3,E149&gt;=0.99,$L$4, E149&gt;=0.95,$L$5, E149&gt;= 0.93, $L$6, E149&gt;= 0.9,$L$7, E149&gt;= 0.85,$L$8, E149&gt;= 0.8,$L$9, E149&gt;= 0.75,$L$10, E149 &gt;= 0.7, $L$11, E149&gt;= 0.65, $L$12, E149&gt;= 0.6, $L$13, E149&gt;= 0.55,$L$14, E149 &gt;= 0.5,$L$15)</f>
        <v>0.4838709677419355</v>
      </c>
    </row>
    <row r="150" spans="1:8" ht="24" x14ac:dyDescent="0.25">
      <c r="A150" s="96" t="s">
        <v>174</v>
      </c>
      <c r="B150" s="96" t="s">
        <v>329</v>
      </c>
      <c r="C150" s="96">
        <v>-9.5</v>
      </c>
      <c r="D150" s="96" t="b">
        <v>1</v>
      </c>
      <c r="E150" s="98">
        <v>0.97250000000000003</v>
      </c>
      <c r="F150" s="101" t="s">
        <v>15</v>
      </c>
      <c r="G150" s="97">
        <v>45994</v>
      </c>
      <c r="H150" s="62" cm="1">
        <f t="array" ref="H150">_xlfn.IFS(E150 = 1,$L$3,E150&gt;=0.99,$L$4, E150&gt;=0.95,$L$5, E150&gt;= 0.93, $L$6, E150&gt;= 0.9,$L$7, E150&gt;= 0.85,$L$8, E150&gt;= 0.8,$L$9, E150&gt;= 0.75,$L$10, E150 &gt;= 0.7, $L$11, E150&gt;= 0.65, $L$12, E150&gt;= 0.6, $L$13, E150&gt;= 0.55,$L$14, E150 &gt;= 0.5,$L$15)</f>
        <v>0.4838709677419355</v>
      </c>
    </row>
    <row r="151" spans="1:8" ht="24" x14ac:dyDescent="0.25">
      <c r="A151" s="96" t="s">
        <v>257</v>
      </c>
      <c r="B151" s="96" t="s">
        <v>111</v>
      </c>
      <c r="C151" s="96">
        <v>-9.5</v>
      </c>
      <c r="D151" s="96" t="b">
        <v>1</v>
      </c>
      <c r="E151" s="98">
        <v>0.96</v>
      </c>
      <c r="F151" s="101" t="s">
        <v>18</v>
      </c>
      <c r="G151" s="97">
        <v>45994</v>
      </c>
      <c r="H151" s="62" cm="1">
        <f t="array" ref="H151">_xlfn.IFS(E151 = 1,$L$3,E151&gt;=0.99,$L$4, E151&gt;=0.95,$L$5, E151&gt;= 0.93, $L$6, E151&gt;= 0.9,$L$7, E151&gt;= 0.85,$L$8, E151&gt;= 0.8,$L$9, E151&gt;= 0.75,$L$10, E151 &gt;= 0.7, $L$11, E151&gt;= 0.65, $L$12, E151&gt;= 0.6, $L$13, E151&gt;= 0.55,$L$14, E151 &gt;= 0.5,$L$15)</f>
        <v>0.4838709677419355</v>
      </c>
    </row>
    <row r="152" spans="1:8" ht="24" x14ac:dyDescent="0.25">
      <c r="A152" s="96" t="s">
        <v>256</v>
      </c>
      <c r="B152" s="96" t="s">
        <v>76</v>
      </c>
      <c r="C152" s="96">
        <v>-10.5</v>
      </c>
      <c r="D152" s="96" t="b">
        <v>1</v>
      </c>
      <c r="E152" s="98">
        <v>0.91500000000000004</v>
      </c>
      <c r="F152" s="101" t="s">
        <v>15</v>
      </c>
      <c r="G152" s="97">
        <v>45994</v>
      </c>
      <c r="H152" s="62" cm="1">
        <f t="array" ref="H152">_xlfn.IFS(E152 = 1,$L$3,E152&gt;=0.99,$L$4, E152&gt;=0.95,$L$5, E152&gt;= 0.93, $L$6, E152&gt;= 0.9,$L$7, E152&gt;= 0.85,$L$8, E152&gt;= 0.8,$L$9, E152&gt;= 0.75,$L$10, E152 &gt;= 0.7, $L$11, E152&gt;= 0.65, $L$12, E152&gt;= 0.6, $L$13, E152&gt;= 0.55,$L$14, E152 &gt;= 0.5,$L$15)</f>
        <v>0.55172413793103448</v>
      </c>
    </row>
    <row r="153" spans="1:8" ht="24" x14ac:dyDescent="0.25">
      <c r="A153" s="96" t="s">
        <v>70</v>
      </c>
      <c r="B153" s="96" t="s">
        <v>317</v>
      </c>
      <c r="C153" s="96">
        <v>-8.5</v>
      </c>
      <c r="D153" s="96" t="b">
        <v>1</v>
      </c>
      <c r="E153" s="98">
        <v>0.91</v>
      </c>
      <c r="F153" s="101" t="s">
        <v>15</v>
      </c>
      <c r="G153" s="97">
        <v>45994</v>
      </c>
      <c r="H153" s="62" cm="1">
        <f t="array" ref="H153">_xlfn.IFS(E153 = 1,$L$3,E153&gt;=0.99,$L$4, E153&gt;=0.95,$L$5, E153&gt;= 0.93, $L$6, E153&gt;= 0.9,$L$7, E153&gt;= 0.85,$L$8, E153&gt;= 0.8,$L$9, E153&gt;= 0.75,$L$10, E153 &gt;= 0.7, $L$11, E153&gt;= 0.65, $L$12, E153&gt;= 0.6, $L$13, E153&gt;= 0.55,$L$14, E153 &gt;= 0.5,$L$15)</f>
        <v>0.55172413793103448</v>
      </c>
    </row>
    <row r="154" spans="1:8" ht="24" x14ac:dyDescent="0.25">
      <c r="A154" s="96" t="s">
        <v>46</v>
      </c>
      <c r="B154" s="96" t="s">
        <v>293</v>
      </c>
      <c r="C154" s="96">
        <v>-8.5</v>
      </c>
      <c r="D154" s="96" t="b">
        <v>1</v>
      </c>
      <c r="E154" s="98">
        <v>0.90749999999999997</v>
      </c>
      <c r="F154" s="101" t="s">
        <v>15</v>
      </c>
      <c r="G154" s="97">
        <v>45994</v>
      </c>
      <c r="H154" s="62" cm="1">
        <f t="array" ref="H154">_xlfn.IFS(E154 = 1,$L$3,E154&gt;=0.99,$L$4, E154&gt;=0.95,$L$5, E154&gt;= 0.93, $L$6, E154&gt;= 0.9,$L$7, E154&gt;= 0.85,$L$8, E154&gt;= 0.8,$L$9, E154&gt;= 0.75,$L$10, E154 &gt;= 0.7, $L$11, E154&gt;= 0.65, $L$12, E154&gt;= 0.6, $L$13, E154&gt;= 0.55,$L$14, E154 &gt;= 0.5,$L$15)</f>
        <v>0.55172413793103448</v>
      </c>
    </row>
    <row r="155" spans="1:8" ht="24" x14ac:dyDescent="0.25">
      <c r="A155" s="96" t="s">
        <v>176</v>
      </c>
      <c r="B155" s="96" t="s">
        <v>66</v>
      </c>
      <c r="C155" s="96">
        <v>-9.5</v>
      </c>
      <c r="D155" s="96" t="b">
        <v>1</v>
      </c>
      <c r="E155" s="98">
        <v>0.9</v>
      </c>
      <c r="F155" s="101" t="s">
        <v>15</v>
      </c>
      <c r="G155" s="97">
        <v>45994</v>
      </c>
      <c r="H155" s="62" cm="1">
        <f t="array" ref="H155">_xlfn.IFS(E155 = 1,$L$3,E155&gt;=0.99,$L$4, E155&gt;=0.95,$L$5, E155&gt;= 0.93, $L$6, E155&gt;= 0.9,$L$7, E155&gt;= 0.85,$L$8, E155&gt;= 0.8,$L$9, E155&gt;= 0.75,$L$10, E155 &gt;= 0.7, $L$11, E155&gt;= 0.65, $L$12, E155&gt;= 0.6, $L$13, E155&gt;= 0.55,$L$14, E155 &gt;= 0.5,$L$15)</f>
        <v>0.55172413793103448</v>
      </c>
    </row>
    <row r="156" spans="1:8" ht="24" x14ac:dyDescent="0.25">
      <c r="A156" s="96" t="s">
        <v>25</v>
      </c>
      <c r="B156" s="96" t="s">
        <v>291</v>
      </c>
      <c r="C156" s="96">
        <v>-9.5</v>
      </c>
      <c r="D156" s="96" t="b">
        <v>1</v>
      </c>
      <c r="E156" s="98">
        <v>0.88749999999999996</v>
      </c>
      <c r="F156" s="101" t="s">
        <v>15</v>
      </c>
      <c r="G156" s="97">
        <v>45994</v>
      </c>
      <c r="H156" s="62" cm="1">
        <f t="array" ref="H156">_xlfn.IFS(E156 = 1,$L$3,E156&gt;=0.99,$L$4, E156&gt;=0.95,$L$5, E156&gt;= 0.93, $L$6, E156&gt;= 0.9,$L$7, E156&gt;= 0.85,$L$8, E156&gt;= 0.8,$L$9, E156&gt;= 0.75,$L$10, E156 &gt;= 0.7, $L$11, E156&gt;= 0.65, $L$12, E156&gt;= 0.6, $L$13, E156&gt;= 0.55,$L$14, E156 &gt;= 0.5,$L$15)</f>
        <v>0.61290322580645162</v>
      </c>
    </row>
    <row r="157" spans="1:8" ht="24" x14ac:dyDescent="0.25">
      <c r="A157" s="96" t="s">
        <v>88</v>
      </c>
      <c r="B157" s="96" t="s">
        <v>247</v>
      </c>
      <c r="C157" s="96">
        <v>-6.5</v>
      </c>
      <c r="D157" s="96" t="b">
        <v>1</v>
      </c>
      <c r="E157" s="98">
        <v>0.88249999999999995</v>
      </c>
      <c r="F157" s="101" t="s">
        <v>15</v>
      </c>
      <c r="G157" s="97">
        <v>45994</v>
      </c>
      <c r="H157" s="62" cm="1">
        <f t="array" ref="H157">_xlfn.IFS(E157 = 1,$L$3,E157&gt;=0.99,$L$4, E157&gt;=0.95,$L$5, E157&gt;= 0.93, $L$6, E157&gt;= 0.9,$L$7, E157&gt;= 0.85,$L$8, E157&gt;= 0.8,$L$9, E157&gt;= 0.75,$L$10, E157 &gt;= 0.7, $L$11, E157&gt;= 0.65, $L$12, E157&gt;= 0.6, $L$13, E157&gt;= 0.55,$L$14, E157 &gt;= 0.5,$L$15)</f>
        <v>0.61290322580645162</v>
      </c>
    </row>
    <row r="158" spans="1:8" ht="24" x14ac:dyDescent="0.25">
      <c r="A158" s="96" t="s">
        <v>198</v>
      </c>
      <c r="B158" s="96" t="s">
        <v>366</v>
      </c>
      <c r="C158" s="96">
        <v>-8.5</v>
      </c>
      <c r="D158" s="96" t="b">
        <v>1</v>
      </c>
      <c r="E158" s="98">
        <v>0.87250000000000005</v>
      </c>
      <c r="F158" s="101" t="s">
        <v>15</v>
      </c>
      <c r="G158" s="97">
        <v>45994</v>
      </c>
      <c r="H158" s="62" cm="1">
        <f t="array" ref="H158">_xlfn.IFS(E158 = 1,$L$3,E158&gt;=0.99,$L$4, E158&gt;=0.95,$L$5, E158&gt;= 0.93, $L$6, E158&gt;= 0.9,$L$7, E158&gt;= 0.85,$L$8, E158&gt;= 0.8,$L$9, E158&gt;= 0.75,$L$10, E158 &gt;= 0.7, $L$11, E158&gt;= 0.65, $L$12, E158&gt;= 0.6, $L$13, E158&gt;= 0.55,$L$14, E158 &gt;= 0.5,$L$15)</f>
        <v>0.61290322580645162</v>
      </c>
    </row>
    <row r="159" spans="1:8" ht="24" x14ac:dyDescent="0.25">
      <c r="A159" s="96" t="s">
        <v>246</v>
      </c>
      <c r="B159" s="96" t="s">
        <v>208</v>
      </c>
      <c r="C159" s="96">
        <v>-5.5</v>
      </c>
      <c r="D159" s="96" t="b">
        <v>1</v>
      </c>
      <c r="E159" s="98">
        <v>0.84499999999999997</v>
      </c>
      <c r="F159" s="101" t="s">
        <v>15</v>
      </c>
      <c r="G159" s="97">
        <v>45994</v>
      </c>
      <c r="H159" s="62" cm="1">
        <f t="array" ref="H159">_xlfn.IFS(E159 = 1,$L$3,E159&gt;=0.99,$L$4, E159&gt;=0.95,$L$5, E159&gt;= 0.93, $L$6, E159&gt;= 0.9,$L$7, E159&gt;= 0.85,$L$8, E159&gt;= 0.8,$L$9, E159&gt;= 0.75,$L$10, E159 &gt;= 0.7, $L$11, E159&gt;= 0.65, $L$12, E159&gt;= 0.6, $L$13, E159&gt;= 0.55,$L$14, E159 &gt;= 0.5,$L$15)</f>
        <v>0.54166666666666663</v>
      </c>
    </row>
    <row r="160" spans="1:8" ht="24" x14ac:dyDescent="0.25">
      <c r="A160" s="96" t="s">
        <v>295</v>
      </c>
      <c r="B160" s="96" t="s">
        <v>161</v>
      </c>
      <c r="C160" s="96">
        <v>-7.5</v>
      </c>
      <c r="D160" s="96" t="b">
        <v>1</v>
      </c>
      <c r="E160" s="98">
        <v>0.83250000000000002</v>
      </c>
      <c r="F160" s="101" t="s">
        <v>15</v>
      </c>
      <c r="G160" s="97">
        <v>45994</v>
      </c>
      <c r="H160" s="62" cm="1">
        <f t="array" ref="H160">_xlfn.IFS(E160 = 1,$L$3,E160&gt;=0.99,$L$4, E160&gt;=0.95,$L$5, E160&gt;= 0.93, $L$6, E160&gt;= 0.9,$L$7, E160&gt;= 0.85,$L$8, E160&gt;= 0.8,$L$9, E160&gt;= 0.75,$L$10, E160 &gt;= 0.7, $L$11, E160&gt;= 0.65, $L$12, E160&gt;= 0.6, $L$13, E160&gt;= 0.55,$L$14, E160 &gt;= 0.5,$L$15)</f>
        <v>0.54166666666666663</v>
      </c>
    </row>
    <row r="161" spans="1:8" ht="24" x14ac:dyDescent="0.25">
      <c r="A161" s="96" t="s">
        <v>218</v>
      </c>
      <c r="B161" s="96" t="s">
        <v>113</v>
      </c>
      <c r="C161" s="96">
        <v>-10.5</v>
      </c>
      <c r="D161" s="96" t="b">
        <v>1</v>
      </c>
      <c r="E161" s="98">
        <v>0.82499999999999996</v>
      </c>
      <c r="F161" s="101" t="s">
        <v>18</v>
      </c>
      <c r="G161" s="97">
        <v>45994</v>
      </c>
      <c r="H161" s="62" cm="1">
        <f t="array" ref="H161">_xlfn.IFS(E161 = 1,$L$3,E161&gt;=0.99,$L$4, E161&gt;=0.95,$L$5, E161&gt;= 0.93, $L$6, E161&gt;= 0.9,$L$7, E161&gt;= 0.85,$L$8, E161&gt;= 0.8,$L$9, E161&gt;= 0.75,$L$10, E161 &gt;= 0.7, $L$11, E161&gt;= 0.65, $L$12, E161&gt;= 0.6, $L$13, E161&gt;= 0.55,$L$14, E161 &gt;= 0.5,$L$15)</f>
        <v>0.54166666666666663</v>
      </c>
    </row>
    <row r="162" spans="1:8" ht="24" x14ac:dyDescent="0.25">
      <c r="A162" s="96" t="s">
        <v>312</v>
      </c>
      <c r="B162" s="96" t="s">
        <v>287</v>
      </c>
      <c r="C162" s="96">
        <v>-3.5</v>
      </c>
      <c r="D162" s="96" t="b">
        <v>1</v>
      </c>
      <c r="E162" s="98">
        <v>0.82</v>
      </c>
      <c r="F162" s="101" t="s">
        <v>18</v>
      </c>
      <c r="G162" s="97">
        <v>45994</v>
      </c>
      <c r="H162" s="62" cm="1">
        <f t="array" ref="H162">_xlfn.IFS(E162 = 1,$L$3,E162&gt;=0.99,$L$4, E162&gt;=0.95,$L$5, E162&gt;= 0.93, $L$6, E162&gt;= 0.9,$L$7, E162&gt;= 0.85,$L$8, E162&gt;= 0.8,$L$9, E162&gt;= 0.75,$L$10, E162 &gt;= 0.7, $L$11, E162&gt;= 0.65, $L$12, E162&gt;= 0.6, $L$13, E162&gt;= 0.55,$L$14, E162 &gt;= 0.5,$L$15)</f>
        <v>0.54166666666666663</v>
      </c>
    </row>
    <row r="163" spans="1:8" ht="24" x14ac:dyDescent="0.25">
      <c r="A163" s="96" t="s">
        <v>83</v>
      </c>
      <c r="B163" s="96" t="s">
        <v>249</v>
      </c>
      <c r="C163" s="96">
        <v>-11.5</v>
      </c>
      <c r="D163" s="96" t="b">
        <v>1</v>
      </c>
      <c r="E163" s="98">
        <v>0.8175</v>
      </c>
      <c r="F163" s="102" t="s">
        <v>15</v>
      </c>
      <c r="G163" s="97">
        <v>45994</v>
      </c>
      <c r="H163" s="62" cm="1">
        <f t="array" ref="H163">_xlfn.IFS(E163 = 1,$L$3,E163&gt;=0.99,$L$4, E163&gt;=0.95,$L$5, E163&gt;= 0.93, $L$6, E163&gt;= 0.9,$L$7, E163&gt;= 0.85,$L$8, E163&gt;= 0.8,$L$9, E163&gt;= 0.75,$L$10, E163 &gt;= 0.7, $L$11, E163&gt;= 0.65, $L$12, E163&gt;= 0.6, $L$13, E163&gt;= 0.55,$L$14, E163 &gt;= 0.5,$L$15)</f>
        <v>0.54166666666666663</v>
      </c>
    </row>
    <row r="164" spans="1:8" ht="24" x14ac:dyDescent="0.25">
      <c r="A164" s="96" t="s">
        <v>122</v>
      </c>
      <c r="B164" s="96" t="s">
        <v>72</v>
      </c>
      <c r="C164" s="96">
        <v>-4.5</v>
      </c>
      <c r="D164" s="96" t="b">
        <v>1</v>
      </c>
      <c r="E164" s="98">
        <v>0.8</v>
      </c>
      <c r="F164" s="102" t="s">
        <v>18</v>
      </c>
      <c r="G164" s="97">
        <v>45994</v>
      </c>
      <c r="H164" s="62" cm="1">
        <f t="array" ref="H164">_xlfn.IFS(E164 = 1,$L$3,E164&gt;=0.99,$L$4, E164&gt;=0.95,$L$5, E164&gt;= 0.93, $L$6, E164&gt;= 0.9,$L$7, E164&gt;= 0.85,$L$8, E164&gt;= 0.8,$L$9, E164&gt;= 0.75,$L$10, E164 &gt;= 0.7, $L$11, E164&gt;= 0.65, $L$12, E164&gt;= 0.6, $L$13, E164&gt;= 0.55,$L$14, E164 &gt;= 0.5,$L$15)</f>
        <v>0.54166666666666663</v>
      </c>
    </row>
    <row r="165" spans="1:8" ht="24" x14ac:dyDescent="0.25">
      <c r="A165" s="96" t="s">
        <v>289</v>
      </c>
      <c r="B165" s="96" t="s">
        <v>234</v>
      </c>
      <c r="C165" s="96">
        <v>-3.5</v>
      </c>
      <c r="D165" s="96" t="b">
        <v>1</v>
      </c>
      <c r="E165" s="98">
        <v>0.77500000000000002</v>
      </c>
      <c r="F165" s="102" t="s">
        <v>15</v>
      </c>
      <c r="G165" s="97">
        <v>45994</v>
      </c>
      <c r="H165" s="62" cm="1">
        <f t="array" ref="H165">_xlfn.IFS(E165 = 1,$L$3,E165&gt;=0.99,$L$4, E165&gt;=0.95,$L$5, E165&gt;= 0.93, $L$6, E165&gt;= 0.9,$L$7, E165&gt;= 0.85,$L$8, E165&gt;= 0.8,$L$9, E165&gt;= 0.75,$L$10, E165 &gt;= 0.7, $L$11, E165&gt;= 0.65, $L$12, E165&gt;= 0.6, $L$13, E165&gt;= 0.55,$L$14, E165 &gt;= 0.5,$L$15)</f>
        <v>0.42105263157894735</v>
      </c>
    </row>
    <row r="166" spans="1:8" ht="24" x14ac:dyDescent="0.25">
      <c r="A166" s="96" t="s">
        <v>55</v>
      </c>
      <c r="B166" s="96" t="s">
        <v>47</v>
      </c>
      <c r="C166" s="96">
        <v>-4.5</v>
      </c>
      <c r="D166" s="96" t="b">
        <v>1</v>
      </c>
      <c r="E166" s="98">
        <v>0.76</v>
      </c>
      <c r="F166" s="102" t="s">
        <v>15</v>
      </c>
      <c r="G166" s="97">
        <v>45994</v>
      </c>
      <c r="H166" s="62" cm="1">
        <f t="array" ref="H166">_xlfn.IFS(E166 = 1,$L$3,E166&gt;=0.99,$L$4, E166&gt;=0.95,$L$5, E166&gt;= 0.93, $L$6, E166&gt;= 0.9,$L$7, E166&gt;= 0.85,$L$8, E166&gt;= 0.8,$L$9, E166&gt;= 0.75,$L$10, E166 &gt;= 0.7, $L$11, E166&gt;= 0.65, $L$12, E166&gt;= 0.6, $L$13, E166&gt;= 0.55,$L$14, E166 &gt;= 0.5,$L$15)</f>
        <v>0.42105263157894735</v>
      </c>
    </row>
    <row r="167" spans="1:8" ht="24" x14ac:dyDescent="0.25">
      <c r="A167" s="96" t="s">
        <v>90</v>
      </c>
      <c r="B167" s="96" t="s">
        <v>250</v>
      </c>
      <c r="C167" s="96">
        <v>-4.5</v>
      </c>
      <c r="D167" s="96" t="b">
        <v>1</v>
      </c>
      <c r="E167" s="98">
        <v>0.75249999999999995</v>
      </c>
      <c r="F167" s="102" t="s">
        <v>15</v>
      </c>
      <c r="G167" s="97">
        <v>45994</v>
      </c>
      <c r="H167" s="62" cm="1">
        <f t="array" ref="H167">_xlfn.IFS(E167 = 1,$L$3,E167&gt;=0.99,$L$4, E167&gt;=0.95,$L$5, E167&gt;= 0.93, $L$6, E167&gt;= 0.9,$L$7, E167&gt;= 0.85,$L$8, E167&gt;= 0.8,$L$9, E167&gt;= 0.75,$L$10, E167 &gt;= 0.7, $L$11, E167&gt;= 0.65, $L$12, E167&gt;= 0.6, $L$13, E167&gt;= 0.55,$L$14, E167 &gt;= 0.5,$L$15)</f>
        <v>0.42105263157894735</v>
      </c>
    </row>
    <row r="168" spans="1:8" ht="24" x14ac:dyDescent="0.25">
      <c r="A168" s="96" t="s">
        <v>393</v>
      </c>
      <c r="B168" s="96" t="s">
        <v>160</v>
      </c>
      <c r="C168" s="96">
        <v>-6.5</v>
      </c>
      <c r="D168" s="96" t="b">
        <v>1</v>
      </c>
      <c r="E168" s="98">
        <v>0.69</v>
      </c>
      <c r="F168" s="102" t="s">
        <v>15</v>
      </c>
      <c r="G168" s="97">
        <v>45994</v>
      </c>
      <c r="H168" s="62" cm="1">
        <f t="array" ref="H168">_xlfn.IFS(E168 = 1,$L$3,E168&gt;=0.99,$L$4, E168&gt;=0.95,$L$5, E168&gt;= 0.93, $L$6, E168&gt;= 0.9,$L$7, E168&gt;= 0.85,$L$8, E168&gt;= 0.8,$L$9, E168&gt;= 0.75,$L$10, E168 &gt;= 0.7, $L$11, E168&gt;= 0.65, $L$12, E168&gt;= 0.6, $L$13, E168&gt;= 0.55,$L$14, E168 &gt;= 0.5,$L$15)</f>
        <v>0.40909090909090912</v>
      </c>
    </row>
    <row r="169" spans="1:8" ht="24" x14ac:dyDescent="0.25">
      <c r="A169" s="96" t="s">
        <v>178</v>
      </c>
      <c r="B169" s="96" t="s">
        <v>89</v>
      </c>
      <c r="C169" s="96">
        <v>-1.5</v>
      </c>
      <c r="D169" s="96" t="b">
        <v>1</v>
      </c>
      <c r="E169" s="98">
        <v>0.65500000000000003</v>
      </c>
      <c r="F169" s="102" t="s">
        <v>15</v>
      </c>
      <c r="G169" s="97">
        <v>45994</v>
      </c>
      <c r="H169" s="62" cm="1">
        <f t="array" ref="H169">_xlfn.IFS(E169 = 1,$L$3,E169&gt;=0.99,$L$4, E169&gt;=0.95,$L$5, E169&gt;= 0.93, $L$6, E169&gt;= 0.9,$L$7, E169&gt;= 0.85,$L$8, E169&gt;= 0.8,$L$9, E169&gt;= 0.75,$L$10, E169 &gt;= 0.7, $L$11, E169&gt;= 0.65, $L$12, E169&gt;= 0.6, $L$13, E169&gt;= 0.55,$L$14, E169 &gt;= 0.5,$L$15)</f>
        <v>0.40909090909090912</v>
      </c>
    </row>
    <row r="170" spans="1:8" ht="24" x14ac:dyDescent="0.25">
      <c r="A170" s="96" t="s">
        <v>221</v>
      </c>
      <c r="B170" s="96" t="s">
        <v>85</v>
      </c>
      <c r="C170" s="96">
        <v>-2.5</v>
      </c>
      <c r="D170" s="96" t="b">
        <v>1</v>
      </c>
      <c r="E170" s="98">
        <v>0.65249999999999997</v>
      </c>
      <c r="F170" s="102" t="s">
        <v>18</v>
      </c>
      <c r="G170" s="97">
        <v>45994</v>
      </c>
      <c r="H170" s="62" cm="1">
        <f t="array" ref="H170">_xlfn.IFS(E170 = 1,$L$3,E170&gt;=0.99,$L$4, E170&gt;=0.95,$L$5, E170&gt;= 0.93, $L$6, E170&gt;= 0.9,$L$7, E170&gt;= 0.85,$L$8, E170&gt;= 0.8,$L$9, E170&gt;= 0.75,$L$10, E170 &gt;= 0.7, $L$11, E170&gt;= 0.65, $L$12, E170&gt;= 0.6, $L$13, E170&gt;= 0.55,$L$14, E170 &gt;= 0.5,$L$15)</f>
        <v>0.40909090909090912</v>
      </c>
    </row>
    <row r="171" spans="1:8" ht="24" x14ac:dyDescent="0.25">
      <c r="A171" s="96" t="s">
        <v>242</v>
      </c>
      <c r="B171" s="96" t="s">
        <v>119</v>
      </c>
      <c r="C171" s="96">
        <v>-1.5</v>
      </c>
      <c r="D171" s="96" t="b">
        <v>1</v>
      </c>
      <c r="E171" s="98">
        <v>0.61750000000000005</v>
      </c>
      <c r="F171" s="102" t="s">
        <v>18</v>
      </c>
      <c r="G171" s="97">
        <v>45994</v>
      </c>
      <c r="H171" s="62" cm="1">
        <f t="array" ref="H171">_xlfn.IFS(E171 = 1,$L$3,E171&gt;=0.99,$L$4, E171&gt;=0.95,$L$5, E171&gt;= 0.93, $L$6, E171&gt;= 0.9,$L$7, E171&gt;= 0.85,$L$8, E171&gt;= 0.8,$L$9, E171&gt;= 0.75,$L$10, E171 &gt;= 0.7, $L$11, E171&gt;= 0.65, $L$12, E171&gt;= 0.6, $L$13, E171&gt;= 0.55,$L$14, E171 &gt;= 0.5,$L$15)</f>
        <v>0.6875</v>
      </c>
    </row>
    <row r="172" spans="1:8" ht="24" x14ac:dyDescent="0.25">
      <c r="A172" s="96" t="s">
        <v>99</v>
      </c>
      <c r="B172" s="96" t="s">
        <v>33</v>
      </c>
      <c r="C172" s="96">
        <v>-5.5</v>
      </c>
      <c r="D172" s="96" t="b">
        <v>1</v>
      </c>
      <c r="E172" s="98">
        <v>0.60750000000000004</v>
      </c>
      <c r="F172" s="102" t="s">
        <v>15</v>
      </c>
      <c r="G172" s="97">
        <v>45994</v>
      </c>
      <c r="H172" s="62" cm="1">
        <f t="array" ref="H172">_xlfn.IFS(E172 = 1,$L$3,E172&gt;=0.99,$L$4, E172&gt;=0.95,$L$5, E172&gt;= 0.93, $L$6, E172&gt;= 0.9,$L$7, E172&gt;= 0.85,$L$8, E172&gt;= 0.8,$L$9, E172&gt;= 0.75,$L$10, E172 &gt;= 0.7, $L$11, E172&gt;= 0.65, $L$12, E172&gt;= 0.6, $L$13, E172&gt;= 0.55,$L$14, E172 &gt;= 0.5,$L$15)</f>
        <v>0.6875</v>
      </c>
    </row>
    <row r="173" spans="1:8" ht="24" x14ac:dyDescent="0.25">
      <c r="A173" s="96" t="s">
        <v>82</v>
      </c>
      <c r="B173" s="96" t="s">
        <v>364</v>
      </c>
      <c r="C173" s="96">
        <v>-2.5</v>
      </c>
      <c r="D173" s="96" t="b">
        <v>0</v>
      </c>
      <c r="E173" s="98">
        <v>0.59499999999999997</v>
      </c>
      <c r="F173" s="102" t="s">
        <v>18</v>
      </c>
      <c r="G173" s="97">
        <v>45994</v>
      </c>
      <c r="H173" s="62" cm="1">
        <f t="array" ref="H173">_xlfn.IFS(E173 = 1,$L$3,E173&gt;=0.99,$L$4, E173&gt;=0.95,$L$5, E173&gt;= 0.93, $L$6, E173&gt;= 0.9,$L$7, E173&gt;= 0.85,$L$8, E173&gt;= 0.8,$L$9, E173&gt;= 0.75,$L$10, E173 &gt;= 0.7, $L$11, E173&gt;= 0.65, $L$12, E173&gt;= 0.6, $L$13, E173&gt;= 0.55,$L$14, E173 &gt;= 0.5,$L$15)</f>
        <v>0.4375</v>
      </c>
    </row>
    <row r="174" spans="1:8" ht="24" x14ac:dyDescent="0.25">
      <c r="A174" s="96" t="s">
        <v>297</v>
      </c>
      <c r="B174" s="96" t="s">
        <v>193</v>
      </c>
      <c r="C174" s="96">
        <v>-2.5</v>
      </c>
      <c r="D174" s="96" t="b">
        <v>1</v>
      </c>
      <c r="E174" s="98">
        <v>0.51500000000000001</v>
      </c>
      <c r="F174" s="102" t="s">
        <v>18</v>
      </c>
      <c r="G174" s="97">
        <v>45994</v>
      </c>
      <c r="H174" s="62" cm="1">
        <f t="array" ref="H174">_xlfn.IFS(E174 = 1,$L$3,E174&gt;=0.99,$L$4, E174&gt;=0.95,$L$5, E174&gt;= 0.93, $L$6, E174&gt;= 0.9,$L$7, E174&gt;= 0.85,$L$8, E174&gt;= 0.8,$L$9, E174&gt;= 0.75,$L$10, E174 &gt;= 0.7, $L$11, E174&gt;= 0.65, $L$12, E174&gt;= 0.6, $L$13, E174&gt;= 0.55,$L$14, E174 &gt;= 0.5,$L$15)</f>
        <v>0.38461538461538464</v>
      </c>
    </row>
    <row r="175" spans="1:8" ht="24" x14ac:dyDescent="0.25">
      <c r="A175" t="s">
        <v>334</v>
      </c>
      <c r="B175" t="s">
        <v>339</v>
      </c>
      <c r="C175">
        <v>-17</v>
      </c>
      <c r="D175" t="b">
        <v>1</v>
      </c>
      <c r="E175" s="59">
        <v>1</v>
      </c>
      <c r="F175" s="94" t="s">
        <v>15</v>
      </c>
      <c r="G175" s="22">
        <v>45993</v>
      </c>
      <c r="H175" s="62" cm="1">
        <f t="array" ref="H175">_xlfn.IFS(E175 = 1,$L$3,E175&gt;=0.99,$L$4, E175&gt;=0.95,$L$5, E175&gt;= 0.93, $L$6, E175&gt;= 0.9,$L$7, E175&gt;= 0.85,$L$8, E175&gt;= 0.8,$L$9, E175&gt;= 0.75,$L$10, E175 &gt;= 0.7, $L$11, E175&gt;= 0.65, $L$12, E175&gt;= 0.6, $L$13, E175&gt;= 0.55,$L$14, E175 &gt;= 0.5,$L$15)</f>
        <v>0.56060606060606055</v>
      </c>
    </row>
    <row r="176" spans="1:8" ht="24" x14ac:dyDescent="0.25">
      <c r="A176" t="s">
        <v>96</v>
      </c>
      <c r="B176" t="s">
        <v>62</v>
      </c>
      <c r="C176">
        <v>-12.5</v>
      </c>
      <c r="D176" t="b">
        <v>1</v>
      </c>
      <c r="E176" s="59">
        <v>0.99750000000000005</v>
      </c>
      <c r="F176" s="94" t="s">
        <v>18</v>
      </c>
      <c r="G176" s="22">
        <v>45993</v>
      </c>
      <c r="H176" s="62" cm="1">
        <f t="array" ref="H176">_xlfn.IFS(E176 = 1,$L$3,E176&gt;=0.99,$L$4, E176&gt;=0.95,$L$5, E176&gt;= 0.93, $L$6, E176&gt;= 0.9,$L$7, E176&gt;= 0.85,$L$8, E176&gt;= 0.8,$L$9, E176&gt;= 0.75,$L$10, E176 &gt;= 0.7, $L$11, E176&gt;= 0.65, $L$12, E176&gt;= 0.6, $L$13, E176&gt;= 0.55,$L$14, E176 &gt;= 0.5,$L$15)</f>
        <v>0.484375</v>
      </c>
    </row>
    <row r="177" spans="1:8" ht="24" x14ac:dyDescent="0.25">
      <c r="A177" t="s">
        <v>353</v>
      </c>
      <c r="B177" t="s">
        <v>128</v>
      </c>
      <c r="C177">
        <v>-18.5</v>
      </c>
      <c r="D177" t="b">
        <v>1</v>
      </c>
      <c r="E177" s="59">
        <v>0.99750000000000005</v>
      </c>
      <c r="F177" s="94" t="s">
        <v>15</v>
      </c>
      <c r="G177" s="22">
        <v>45993</v>
      </c>
      <c r="H177" s="62" cm="1">
        <f t="array" ref="H177">_xlfn.IFS(E177 = 1,$L$3,E177&gt;=0.99,$L$4, E177&gt;=0.95,$L$5, E177&gt;= 0.93, $L$6, E177&gt;= 0.9,$L$7, E177&gt;= 0.85,$L$8, E177&gt;= 0.8,$L$9, E177&gt;= 0.75,$L$10, E177 &gt;= 0.7, $L$11, E177&gt;= 0.65, $L$12, E177&gt;= 0.6, $L$13, E177&gt;= 0.55,$L$14, E177 &gt;= 0.5,$L$15)</f>
        <v>0.484375</v>
      </c>
    </row>
    <row r="178" spans="1:8" ht="24" x14ac:dyDescent="0.25">
      <c r="A178" t="s">
        <v>38</v>
      </c>
      <c r="B178" t="s">
        <v>36</v>
      </c>
      <c r="C178">
        <v>-22.5</v>
      </c>
      <c r="D178" t="b">
        <v>1</v>
      </c>
      <c r="E178" s="59">
        <v>0.995</v>
      </c>
      <c r="F178" s="94" t="s">
        <v>15</v>
      </c>
      <c r="G178" s="22">
        <v>45993</v>
      </c>
      <c r="H178" s="62" cm="1">
        <f t="array" ref="H178">_xlfn.IFS(E178 = 1,$L$3,E178&gt;=0.99,$L$4, E178&gt;=0.95,$L$5, E178&gt;= 0.93, $L$6, E178&gt;= 0.9,$L$7, E178&gt;= 0.85,$L$8, E178&gt;= 0.8,$L$9, E178&gt;= 0.75,$L$10, E178 &gt;= 0.7, $L$11, E178&gt;= 0.65, $L$12, E178&gt;= 0.6, $L$13, E178&gt;= 0.55,$L$14, E178 &gt;= 0.5,$L$15)</f>
        <v>0.484375</v>
      </c>
    </row>
    <row r="179" spans="1:8" ht="24" x14ac:dyDescent="0.25">
      <c r="A179" t="s">
        <v>165</v>
      </c>
      <c r="B179" t="s">
        <v>104</v>
      </c>
      <c r="C179">
        <v>-19</v>
      </c>
      <c r="D179" t="b">
        <v>1</v>
      </c>
      <c r="E179" s="59">
        <v>0.995</v>
      </c>
      <c r="F179" s="94" t="s">
        <v>18</v>
      </c>
      <c r="G179" s="22">
        <v>45993</v>
      </c>
      <c r="H179" s="62" cm="1">
        <f t="array" ref="H179">_xlfn.IFS(E179 = 1,$L$3,E179&gt;=0.99,$L$4, E179&gt;=0.95,$L$5, E179&gt;= 0.93, $L$6, E179&gt;= 0.9,$L$7, E179&gt;= 0.85,$L$8, E179&gt;= 0.8,$L$9, E179&gt;= 0.75,$L$10, E179 &gt;= 0.7, $L$11, E179&gt;= 0.65, $L$12, E179&gt;= 0.6, $L$13, E179&gt;= 0.55,$L$14, E179 &gt;= 0.5,$L$15)</f>
        <v>0.484375</v>
      </c>
    </row>
    <row r="180" spans="1:8" ht="24" x14ac:dyDescent="0.25">
      <c r="A180" t="s">
        <v>99</v>
      </c>
      <c r="B180" t="s">
        <v>219</v>
      </c>
      <c r="C180">
        <v>-10.5</v>
      </c>
      <c r="D180" t="b">
        <v>1</v>
      </c>
      <c r="E180" s="59">
        <v>0.99250000000000005</v>
      </c>
      <c r="F180" s="94" t="s">
        <v>15</v>
      </c>
      <c r="G180" s="22">
        <v>45993</v>
      </c>
      <c r="H180" s="62" cm="1">
        <f t="array" ref="H180">_xlfn.IFS(E180 = 1,$L$3,E180&gt;=0.99,$L$4, E180&gt;=0.95,$L$5, E180&gt;= 0.93, $L$6, E180&gt;= 0.9,$L$7, E180&gt;= 0.85,$L$8, E180&gt;= 0.8,$L$9, E180&gt;= 0.75,$L$10, E180 &gt;= 0.7, $L$11, E180&gt;= 0.65, $L$12, E180&gt;= 0.6, $L$13, E180&gt;= 0.55,$L$14, E180 &gt;= 0.5,$L$15)</f>
        <v>0.484375</v>
      </c>
    </row>
    <row r="181" spans="1:8" ht="24" x14ac:dyDescent="0.25">
      <c r="A181" t="s">
        <v>331</v>
      </c>
      <c r="B181" t="s">
        <v>49</v>
      </c>
      <c r="C181">
        <v>-11</v>
      </c>
      <c r="D181" t="b">
        <v>1</v>
      </c>
      <c r="E181" s="59">
        <v>0.99250000000000005</v>
      </c>
      <c r="F181" s="94" t="s">
        <v>52</v>
      </c>
      <c r="G181" s="22">
        <v>45993</v>
      </c>
      <c r="H181" s="62" cm="1">
        <f t="array" ref="H181">_xlfn.IFS(E181 = 1,$L$3,E181&gt;=0.99,$L$4, E181&gt;=0.95,$L$5, E181&gt;= 0.93, $L$6, E181&gt;= 0.9,$L$7, E181&gt;= 0.85,$L$8, E181&gt;= 0.8,$L$9, E181&gt;= 0.75,$L$10, E181 &gt;= 0.7, $L$11, E181&gt;= 0.65, $L$12, E181&gt;= 0.6, $L$13, E181&gt;= 0.55,$L$14, E181 &gt;= 0.5,$L$15)</f>
        <v>0.484375</v>
      </c>
    </row>
    <row r="182" spans="1:8" ht="24" x14ac:dyDescent="0.25">
      <c r="A182" t="s">
        <v>20</v>
      </c>
      <c r="B182" t="s">
        <v>229</v>
      </c>
      <c r="C182">
        <v>-23.5</v>
      </c>
      <c r="D182" t="b">
        <v>1</v>
      </c>
      <c r="E182" s="59">
        <v>0.99</v>
      </c>
      <c r="F182" s="94" t="s">
        <v>18</v>
      </c>
      <c r="G182" s="22">
        <v>45993</v>
      </c>
      <c r="H182" s="62" cm="1">
        <f t="array" ref="H182">_xlfn.IFS(E182 = 1,$L$3,E182&gt;=0.99,$L$4, E182&gt;=0.95,$L$5, E182&gt;= 0.93, $L$6, E182&gt;= 0.9,$L$7, E182&gt;= 0.85,$L$8, E182&gt;= 0.8,$L$9, E182&gt;= 0.75,$L$10, E182 &gt;= 0.7, $L$11, E182&gt;= 0.65, $L$12, E182&gt;= 0.6, $L$13, E182&gt;= 0.55,$L$14, E182 &gt;= 0.5,$L$15)</f>
        <v>0.484375</v>
      </c>
    </row>
    <row r="183" spans="1:8" ht="24" x14ac:dyDescent="0.25">
      <c r="A183" t="s">
        <v>75</v>
      </c>
      <c r="B183" t="s">
        <v>283</v>
      </c>
      <c r="C183">
        <v>-13.5</v>
      </c>
      <c r="D183" t="b">
        <v>1</v>
      </c>
      <c r="E183" s="59">
        <v>0.99</v>
      </c>
      <c r="F183" s="94" t="s">
        <v>18</v>
      </c>
      <c r="G183" s="22">
        <v>45993</v>
      </c>
      <c r="H183" s="62" cm="1">
        <f t="array" ref="H183">_xlfn.IFS(E183 = 1,$L$3,E183&gt;=0.99,$L$4, E183&gt;=0.95,$L$5, E183&gt;= 0.93, $L$6, E183&gt;= 0.9,$L$7, E183&gt;= 0.85,$L$8, E183&gt;= 0.8,$L$9, E183&gt;= 0.75,$L$10, E183 &gt;= 0.7, $L$11, E183&gt;= 0.65, $L$12, E183&gt;= 0.6, $L$13, E183&gt;= 0.55,$L$14, E183 &gt;= 0.5,$L$15)</f>
        <v>0.484375</v>
      </c>
    </row>
    <row r="184" spans="1:8" ht="24" x14ac:dyDescent="0.25">
      <c r="A184" t="s">
        <v>311</v>
      </c>
      <c r="B184" t="s">
        <v>392</v>
      </c>
      <c r="C184">
        <v>-13.5</v>
      </c>
      <c r="D184" t="b">
        <v>1</v>
      </c>
      <c r="E184" s="59">
        <v>0.98250000000000004</v>
      </c>
      <c r="F184" s="94" t="s">
        <v>15</v>
      </c>
      <c r="G184" s="22">
        <v>45993</v>
      </c>
      <c r="H184" s="62" cm="1">
        <f t="array" ref="H184">_xlfn.IFS(E184 = 1,$L$3,E184&gt;=0.99,$L$4, E184&gt;=0.95,$L$5, E184&gt;= 0.93, $L$6, E184&gt;= 0.9,$L$7, E184&gt;= 0.85,$L$8, E184&gt;= 0.8,$L$9, E184&gt;= 0.75,$L$10, E184 &gt;= 0.7, $L$11, E184&gt;= 0.65, $L$12, E184&gt;= 0.6, $L$13, E184&gt;= 0.55,$L$14, E184 &gt;= 0.5,$L$15)</f>
        <v>0.4838709677419355</v>
      </c>
    </row>
    <row r="185" spans="1:8" ht="24" x14ac:dyDescent="0.25">
      <c r="A185" t="s">
        <v>335</v>
      </c>
      <c r="B185" t="s">
        <v>84</v>
      </c>
      <c r="C185">
        <v>-5</v>
      </c>
      <c r="D185" t="b">
        <v>1</v>
      </c>
      <c r="E185" s="59">
        <v>0.9425</v>
      </c>
      <c r="F185" s="94" t="s">
        <v>18</v>
      </c>
      <c r="G185" s="22">
        <v>45993</v>
      </c>
      <c r="H185" s="62" cm="1">
        <f t="array" ref="H185">_xlfn.IFS(E185 = 1,$L$3,E185&gt;=0.99,$L$4, E185&gt;=0.95,$L$5, E185&gt;= 0.93, $L$6, E185&gt;= 0.9,$L$7, E185&gt;= 0.85,$L$8, E185&gt;= 0.8,$L$9, E185&gt;= 0.75,$L$10, E185 &gt;= 0.7, $L$11, E185&gt;= 0.65, $L$12, E185&gt;= 0.6, $L$13, E185&gt;= 0.55,$L$14, E185 &gt;= 0.5,$L$15)</f>
        <v>0.29411764705882354</v>
      </c>
    </row>
    <row r="186" spans="1:8" ht="24" x14ac:dyDescent="0.25">
      <c r="A186" t="s">
        <v>203</v>
      </c>
      <c r="B186" t="s">
        <v>110</v>
      </c>
      <c r="C186">
        <v>-8.5</v>
      </c>
      <c r="D186" t="b">
        <v>1</v>
      </c>
      <c r="E186" s="59">
        <v>0.94</v>
      </c>
      <c r="F186" s="94" t="s">
        <v>18</v>
      </c>
      <c r="G186" s="22">
        <v>45993</v>
      </c>
      <c r="H186" s="62" cm="1">
        <f t="array" ref="H186">_xlfn.IFS(E186 = 1,$L$3,E186&gt;=0.99,$L$4, E186&gt;=0.95,$L$5, E186&gt;= 0.93, $L$6, E186&gt;= 0.9,$L$7, E186&gt;= 0.85,$L$8, E186&gt;= 0.8,$L$9, E186&gt;= 0.75,$L$10, E186 &gt;= 0.7, $L$11, E186&gt;= 0.65, $L$12, E186&gt;= 0.6, $L$13, E186&gt;= 0.55,$L$14, E186 &gt;= 0.5,$L$15)</f>
        <v>0.29411764705882354</v>
      </c>
    </row>
    <row r="187" spans="1:8" ht="24" x14ac:dyDescent="0.25">
      <c r="A187" t="s">
        <v>127</v>
      </c>
      <c r="B187" t="s">
        <v>74</v>
      </c>
      <c r="C187">
        <v>-7.5</v>
      </c>
      <c r="D187" t="b">
        <v>1</v>
      </c>
      <c r="E187" s="59">
        <v>0.9375</v>
      </c>
      <c r="F187" s="94" t="s">
        <v>18</v>
      </c>
      <c r="G187" s="22">
        <v>45993</v>
      </c>
      <c r="H187" s="62" cm="1">
        <f t="array" ref="H187">_xlfn.IFS(E187 = 1,$L$3,E187&gt;=0.99,$L$4, E187&gt;=0.95,$L$5, E187&gt;= 0.93, $L$6, E187&gt;= 0.9,$L$7, E187&gt;= 0.85,$L$8, E187&gt;= 0.8,$L$9, E187&gt;= 0.75,$L$10, E187 &gt;= 0.7, $L$11, E187&gt;= 0.65, $L$12, E187&gt;= 0.6, $L$13, E187&gt;= 0.55,$L$14, E187 &gt;= 0.5,$L$15)</f>
        <v>0.29411764705882354</v>
      </c>
    </row>
    <row r="188" spans="1:8" ht="24" x14ac:dyDescent="0.25">
      <c r="A188" t="s">
        <v>336</v>
      </c>
      <c r="B188" t="s">
        <v>224</v>
      </c>
      <c r="C188">
        <v>-10.5</v>
      </c>
      <c r="D188" t="b">
        <v>1</v>
      </c>
      <c r="E188" s="59">
        <v>0.92749999999999999</v>
      </c>
      <c r="F188" s="94" t="s">
        <v>18</v>
      </c>
      <c r="G188" s="22">
        <v>45993</v>
      </c>
      <c r="H188" s="62" cm="1">
        <f t="array" ref="H188">_xlfn.IFS(E188 = 1,$L$3,E188&gt;=0.99,$L$4, E188&gt;=0.95,$L$5, E188&gt;= 0.93, $L$6, E188&gt;= 0.9,$L$7, E188&gt;= 0.85,$L$8, E188&gt;= 0.8,$L$9, E188&gt;= 0.75,$L$10, E188 &gt;= 0.7, $L$11, E188&gt;= 0.65, $L$12, E188&gt;= 0.6, $L$13, E188&gt;= 0.55,$L$14, E188 &gt;= 0.5,$L$15)</f>
        <v>0.55172413793103448</v>
      </c>
    </row>
    <row r="189" spans="1:8" ht="24" x14ac:dyDescent="0.25">
      <c r="A189" t="s">
        <v>54</v>
      </c>
      <c r="B189" t="s">
        <v>124</v>
      </c>
      <c r="C189">
        <v>-4.5</v>
      </c>
      <c r="D189" t="b">
        <v>1</v>
      </c>
      <c r="E189" s="59">
        <v>0.92</v>
      </c>
      <c r="F189" s="94" t="s">
        <v>18</v>
      </c>
      <c r="G189" s="22">
        <v>45993</v>
      </c>
      <c r="H189" s="62" cm="1">
        <f t="array" ref="H189">_xlfn.IFS(E189 = 1,$L$3,E189&gt;=0.99,$L$4, E189&gt;=0.95,$L$5, E189&gt;= 0.93, $L$6, E189&gt;= 0.9,$L$7, E189&gt;= 0.85,$L$8, E189&gt;= 0.8,$L$9, E189&gt;= 0.75,$L$10, E189 &gt;= 0.7, $L$11, E189&gt;= 0.65, $L$12, E189&gt;= 0.6, $L$13, E189&gt;= 0.55,$L$14, E189 &gt;= 0.5,$L$15)</f>
        <v>0.55172413793103448</v>
      </c>
    </row>
    <row r="190" spans="1:8" ht="24" x14ac:dyDescent="0.25">
      <c r="A190" t="s">
        <v>292</v>
      </c>
      <c r="B190" t="s">
        <v>358</v>
      </c>
      <c r="C190">
        <v>-7</v>
      </c>
      <c r="D190" t="b">
        <v>1</v>
      </c>
      <c r="E190" s="59">
        <v>0.90749999999999997</v>
      </c>
      <c r="F190" s="94" t="s">
        <v>18</v>
      </c>
      <c r="G190" s="22">
        <v>45993</v>
      </c>
      <c r="H190" s="62" cm="1">
        <f t="array" ref="H190">_xlfn.IFS(E190 = 1,$L$3,E190&gt;=0.99,$L$4, E190&gt;=0.95,$L$5, E190&gt;= 0.93, $L$6, E190&gt;= 0.9,$L$7, E190&gt;= 0.85,$L$8, E190&gt;= 0.8,$L$9, E190&gt;= 0.75,$L$10, E190 &gt;= 0.7, $L$11, E190&gt;= 0.65, $L$12, E190&gt;= 0.6, $L$13, E190&gt;= 0.55,$L$14, E190 &gt;= 0.5,$L$15)</f>
        <v>0.55172413793103448</v>
      </c>
    </row>
    <row r="191" spans="1:8" ht="24" x14ac:dyDescent="0.25">
      <c r="A191" t="s">
        <v>69</v>
      </c>
      <c r="B191" t="s">
        <v>27</v>
      </c>
      <c r="C191">
        <v>-6</v>
      </c>
      <c r="D191" t="b">
        <v>1</v>
      </c>
      <c r="E191" s="59">
        <v>0.87</v>
      </c>
      <c r="F191" s="94" t="s">
        <v>15</v>
      </c>
      <c r="G191" s="22">
        <v>45993</v>
      </c>
      <c r="H191" s="62" cm="1">
        <f t="array" ref="H191">_xlfn.IFS(E191 = 1,$L$3,E191&gt;=0.99,$L$4, E191&gt;=0.95,$L$5, E191&gt;= 0.93, $L$6, E191&gt;= 0.9,$L$7, E191&gt;= 0.85,$L$8, E191&gt;= 0.8,$L$9, E191&gt;= 0.75,$L$10, E191 &gt;= 0.7, $L$11, E191&gt;= 0.65, $L$12, E191&gt;= 0.6, $L$13, E191&gt;= 0.55,$L$14, E191 &gt;= 0.5,$L$15)</f>
        <v>0.61290322580645162</v>
      </c>
    </row>
    <row r="192" spans="1:8" ht="24" x14ac:dyDescent="0.25">
      <c r="A192" t="s">
        <v>191</v>
      </c>
      <c r="B192" t="s">
        <v>284</v>
      </c>
      <c r="C192">
        <v>-5.5</v>
      </c>
      <c r="D192" t="b">
        <v>1</v>
      </c>
      <c r="E192" s="59">
        <v>0.83250000000000002</v>
      </c>
      <c r="F192" s="94" t="s">
        <v>15</v>
      </c>
      <c r="G192" s="22">
        <v>45993</v>
      </c>
      <c r="H192" s="62" cm="1">
        <f t="array" ref="H192">_xlfn.IFS(E192 = 1,$L$3,E192&gt;=0.99,$L$4, E192&gt;=0.95,$L$5, E192&gt;= 0.93, $L$6, E192&gt;= 0.9,$L$7, E192&gt;= 0.85,$L$8, E192&gt;= 0.8,$L$9, E192&gt;= 0.75,$L$10, E192 &gt;= 0.7, $L$11, E192&gt;= 0.65, $L$12, E192&gt;= 0.6, $L$13, E192&gt;= 0.55,$L$14, E192 &gt;= 0.5,$L$15)</f>
        <v>0.54166666666666663</v>
      </c>
    </row>
    <row r="193" spans="1:8" ht="24" x14ac:dyDescent="0.25">
      <c r="A193" t="s">
        <v>230</v>
      </c>
      <c r="B193" t="s">
        <v>57</v>
      </c>
      <c r="C193">
        <v>-6.5</v>
      </c>
      <c r="D193" t="b">
        <v>1</v>
      </c>
      <c r="E193" s="59">
        <v>0.75749999999999995</v>
      </c>
      <c r="F193" s="94" t="s">
        <v>18</v>
      </c>
      <c r="G193" s="22">
        <v>45993</v>
      </c>
      <c r="H193" s="62" cm="1">
        <f t="array" ref="H193">_xlfn.IFS(E193 = 1,$L$3,E193&gt;=0.99,$L$4, E193&gt;=0.95,$L$5, E193&gt;= 0.93, $L$6, E193&gt;= 0.9,$L$7, E193&gt;= 0.85,$L$8, E193&gt;= 0.8,$L$9, E193&gt;= 0.75,$L$10, E193 &gt;= 0.7, $L$11, E193&gt;= 0.65, $L$12, E193&gt;= 0.6, $L$13, E193&gt;= 0.55,$L$14, E193 &gt;= 0.5,$L$15)</f>
        <v>0.42105263157894735</v>
      </c>
    </row>
    <row r="194" spans="1:8" ht="24" x14ac:dyDescent="0.25">
      <c r="A194" t="s">
        <v>228</v>
      </c>
      <c r="B194" t="s">
        <v>294</v>
      </c>
      <c r="C194">
        <v>-4.5</v>
      </c>
      <c r="D194" t="b">
        <v>1</v>
      </c>
      <c r="E194" s="59">
        <v>0.74750000000000005</v>
      </c>
      <c r="F194" s="94" t="s">
        <v>15</v>
      </c>
      <c r="G194" s="22">
        <v>45993</v>
      </c>
      <c r="H194" s="62" cm="1">
        <f t="array" ref="H194">_xlfn.IFS(E194 = 1,$L$3,E194&gt;=0.99,$L$4, E194&gt;=0.95,$L$5, E194&gt;= 0.93, $L$6, E194&gt;= 0.9,$L$7, E194&gt;= 0.85,$L$8, E194&gt;= 0.8,$L$9, E194&gt;= 0.75,$L$10, E194 &gt;= 0.7, $L$11, E194&gt;= 0.65, $L$12, E194&gt;= 0.6, $L$13, E194&gt;= 0.55,$L$14, E194 &gt;= 0.5,$L$15)</f>
        <v>0.66666666666666663</v>
      </c>
    </row>
    <row r="195" spans="1:8" ht="24" x14ac:dyDescent="0.25">
      <c r="A195" t="s">
        <v>253</v>
      </c>
      <c r="B195" t="s">
        <v>210</v>
      </c>
      <c r="C195">
        <v>-1</v>
      </c>
      <c r="D195" t="b">
        <v>1</v>
      </c>
      <c r="E195" s="59">
        <v>0.57250000000000001</v>
      </c>
      <c r="F195" s="95" t="s">
        <v>18</v>
      </c>
      <c r="G195" s="22">
        <v>45993</v>
      </c>
      <c r="H195" s="62" cm="1">
        <f t="array" ref="H195">_xlfn.IFS(E195 = 1,$L$3,E195&gt;=0.99,$L$4, E195&gt;=0.95,$L$5, E195&gt;= 0.93, $L$6, E195&gt;= 0.9,$L$7, E195&gt;= 0.85,$L$8, E195&gt;= 0.8,$L$9, E195&gt;= 0.75,$L$10, E195 &gt;= 0.7, $L$11, E195&gt;= 0.65, $L$12, E195&gt;= 0.6, $L$13, E195&gt;= 0.55,$L$14, E195 &gt;= 0.5,$L$15)</f>
        <v>0.4375</v>
      </c>
    </row>
    <row r="196" spans="1:8" ht="24" x14ac:dyDescent="0.25">
      <c r="A196" s="90" t="s">
        <v>102</v>
      </c>
      <c r="B196" s="90" t="s">
        <v>73</v>
      </c>
      <c r="C196" s="90">
        <v>-17.5</v>
      </c>
      <c r="D196" s="90" t="b">
        <v>1</v>
      </c>
      <c r="E196" s="92">
        <v>0.99750000000000005</v>
      </c>
      <c r="F196" s="93" t="s">
        <v>15</v>
      </c>
      <c r="G196" s="91">
        <v>45992</v>
      </c>
      <c r="H196" s="62" cm="1">
        <f t="array" ref="H196">_xlfn.IFS(E196 = 1,$L$3,E196&gt;=0.99,$L$4, E196&gt;=0.95,$L$5, E196&gt;= 0.93, $L$6, E196&gt;= 0.9,$L$7, E196&gt;= 0.85,$L$8, E196&gt;= 0.8,$L$9, E196&gt;= 0.75,$L$10, E196 &gt;= 0.7, $L$11, E196&gt;= 0.65, $L$12, E196&gt;= 0.6, $L$13, E196&gt;= 0.55,$L$14, E196 &gt;= 0.5,$L$15)</f>
        <v>0.484375</v>
      </c>
    </row>
    <row r="197" spans="1:8" ht="24" x14ac:dyDescent="0.25">
      <c r="A197" s="90" t="s">
        <v>201</v>
      </c>
      <c r="B197" s="90" t="s">
        <v>129</v>
      </c>
      <c r="C197" s="90">
        <v>-13</v>
      </c>
      <c r="D197" s="90" t="b">
        <v>1</v>
      </c>
      <c r="E197" s="92">
        <v>0.98499999999999999</v>
      </c>
      <c r="F197" s="93" t="s">
        <v>15</v>
      </c>
      <c r="G197" s="91">
        <v>45992</v>
      </c>
      <c r="H197" s="62" cm="1">
        <f t="array" ref="H197">_xlfn.IFS(E197 = 1,$L$3,E197&gt;=0.99,$L$4, E197&gt;=0.95,$L$5, E197&gt;= 0.93, $L$6, E197&gt;= 0.9,$L$7, E197&gt;= 0.85,$L$8, E197&gt;= 0.8,$L$9, E197&gt;= 0.75,$L$10, E197 &gt;= 0.7, $L$11, E197&gt;= 0.65, $L$12, E197&gt;= 0.6, $L$13, E197&gt;= 0.55,$L$14, E197 &gt;= 0.5,$L$15)</f>
        <v>0.4838709677419355</v>
      </c>
    </row>
    <row r="198" spans="1:8" ht="24" x14ac:dyDescent="0.25">
      <c r="A198" s="90" t="s">
        <v>360</v>
      </c>
      <c r="B198" s="90" t="s">
        <v>316</v>
      </c>
      <c r="C198" s="90">
        <v>-12</v>
      </c>
      <c r="D198" s="90" t="b">
        <v>1</v>
      </c>
      <c r="E198" s="92">
        <v>0.9375</v>
      </c>
      <c r="F198" s="93" t="s">
        <v>18</v>
      </c>
      <c r="G198" s="91">
        <v>45992</v>
      </c>
      <c r="H198" s="62" cm="1">
        <f t="array" ref="H198">_xlfn.IFS(E198 = 1,$L$3,E198&gt;=0.99,$L$4, E198&gt;=0.95,$L$5, E198&gt;= 0.93, $L$6, E198&gt;= 0.9,$L$7, E198&gt;= 0.85,$L$8, E198&gt;= 0.8,$L$9, E198&gt;= 0.75,$L$10, E198 &gt;= 0.7, $L$11, E198&gt;= 0.65, $L$12, E198&gt;= 0.6, $L$13, E198&gt;= 0.55,$L$14, E198 &gt;= 0.5,$L$15)</f>
        <v>0.29411764705882354</v>
      </c>
    </row>
    <row r="199" spans="1:8" ht="24" x14ac:dyDescent="0.25">
      <c r="A199" s="90" t="s">
        <v>45</v>
      </c>
      <c r="B199" s="90" t="s">
        <v>81</v>
      </c>
      <c r="C199" s="90">
        <v>-12</v>
      </c>
      <c r="D199" s="90" t="b">
        <v>1</v>
      </c>
      <c r="E199" s="92">
        <v>0.9375</v>
      </c>
      <c r="F199" s="93" t="s">
        <v>18</v>
      </c>
      <c r="G199" s="91">
        <v>45992</v>
      </c>
      <c r="H199" s="62" cm="1">
        <f t="array" ref="H199">_xlfn.IFS(E199 = 1,$L$3,E199&gt;=0.99,$L$4, E199&gt;=0.95,$L$5, E199&gt;= 0.93, $L$6, E199&gt;= 0.9,$L$7, E199&gt;= 0.85,$L$8, E199&gt;= 0.8,$L$9, E199&gt;= 0.75,$L$10, E199 &gt;= 0.7, $L$11, E199&gt;= 0.65, $L$12, E199&gt;= 0.6, $L$13, E199&gt;= 0.55,$L$14, E199 &gt;= 0.5,$L$15)</f>
        <v>0.29411764705882354</v>
      </c>
    </row>
    <row r="200" spans="1:8" ht="24" x14ac:dyDescent="0.25">
      <c r="A200" t="s">
        <v>259</v>
      </c>
      <c r="B200" t="s">
        <v>244</v>
      </c>
      <c r="C200">
        <v>-41.5</v>
      </c>
      <c r="D200" t="b">
        <v>1</v>
      </c>
      <c r="E200" s="59">
        <v>1</v>
      </c>
      <c r="F200" s="89" t="s">
        <v>15</v>
      </c>
      <c r="G200" s="22">
        <v>45987</v>
      </c>
      <c r="H200" s="62" cm="1">
        <f t="array" ref="H200">_xlfn.IFS(E200 = 1,$L$3,E200&gt;=0.99,$L$4, E200&gt;=0.95,$L$5, E200&gt;= 0.93, $L$6, E200&gt;= 0.9,$L$7, E200&gt;= 0.85,$L$8, E200&gt;= 0.8,$L$9, E200&gt;= 0.75,$L$10, E200 &gt;= 0.7, $L$11, E200&gt;= 0.65, $L$12, E200&gt;= 0.6, $L$13, E200&gt;= 0.55,$L$14, E200 &gt;= 0.5,$L$15)</f>
        <v>0.56060606060606055</v>
      </c>
    </row>
    <row r="201" spans="1:8" ht="24" x14ac:dyDescent="0.25">
      <c r="A201" t="s">
        <v>338</v>
      </c>
      <c r="B201" t="s">
        <v>168</v>
      </c>
      <c r="C201">
        <v>-18.5</v>
      </c>
      <c r="D201" t="b">
        <v>1</v>
      </c>
      <c r="E201" s="59">
        <v>0.995</v>
      </c>
      <c r="F201" s="89" t="s">
        <v>15</v>
      </c>
      <c r="G201" s="22">
        <v>45987</v>
      </c>
      <c r="H201" s="62" cm="1">
        <f t="array" ref="H201">_xlfn.IFS(E201 = 1,$L$3,E201&gt;=0.99,$L$4, E201&gt;=0.95,$L$5, E201&gt;= 0.93, $L$6, E201&gt;= 0.9,$L$7, E201&gt;= 0.85,$L$8, E201&gt;= 0.8,$L$9, E201&gt;= 0.75,$L$10, E201 &gt;= 0.7, $L$11, E201&gt;= 0.65, $L$12, E201&gt;= 0.6, $L$13, E201&gt;= 0.55,$L$14, E201 &gt;= 0.5,$L$15)</f>
        <v>0.484375</v>
      </c>
    </row>
    <row r="202" spans="1:8" ht="24" x14ac:dyDescent="0.25">
      <c r="A202" t="s">
        <v>325</v>
      </c>
      <c r="B202" t="s">
        <v>117</v>
      </c>
      <c r="C202">
        <v>-26</v>
      </c>
      <c r="D202" t="b">
        <v>1</v>
      </c>
      <c r="E202" s="59">
        <v>0.99</v>
      </c>
      <c r="F202" s="89" t="s">
        <v>15</v>
      </c>
      <c r="G202" s="22">
        <v>45987</v>
      </c>
      <c r="H202" s="62" cm="1">
        <f t="array" ref="H202">_xlfn.IFS(E202 = 1,$L$3,E202&gt;=0.99,$L$4, E202&gt;=0.95,$L$5, E202&gt;= 0.93, $L$6, E202&gt;= 0.9,$L$7, E202&gt;= 0.85,$L$8, E202&gt;= 0.8,$L$9, E202&gt;= 0.75,$L$10, E202 &gt;= 0.7, $L$11, E202&gt;= 0.65, $L$12, E202&gt;= 0.6, $L$13, E202&gt;= 0.55,$L$14, E202 &gt;= 0.5,$L$15)</f>
        <v>0.484375</v>
      </c>
    </row>
    <row r="203" spans="1:8" ht="24" x14ac:dyDescent="0.25">
      <c r="A203" t="s">
        <v>21</v>
      </c>
      <c r="B203" t="s">
        <v>213</v>
      </c>
      <c r="C203">
        <v>-7</v>
      </c>
      <c r="D203" t="b">
        <v>1</v>
      </c>
      <c r="E203" s="59">
        <v>0.94499999999999995</v>
      </c>
      <c r="F203" s="89" t="s">
        <v>18</v>
      </c>
      <c r="G203" s="22">
        <v>45987</v>
      </c>
      <c r="H203" s="62" cm="1">
        <f t="array" ref="H203">_xlfn.IFS(E203 = 1,$L$3,E203&gt;=0.99,$L$4, E203&gt;=0.95,$L$5, E203&gt;= 0.93, $L$6, E203&gt;= 0.9,$L$7, E203&gt;= 0.85,$L$8, E203&gt;= 0.8,$L$9, E203&gt;= 0.75,$L$10, E203 &gt;= 0.7, $L$11, E203&gt;= 0.65, $L$12, E203&gt;= 0.6, $L$13, E203&gt;= 0.55,$L$14, E203 &gt;= 0.5,$L$15)</f>
        <v>0.29411764705882354</v>
      </c>
    </row>
    <row r="204" spans="1:8" ht="24" x14ac:dyDescent="0.25">
      <c r="A204" t="s">
        <v>90</v>
      </c>
      <c r="B204" t="s">
        <v>223</v>
      </c>
      <c r="C204">
        <v>-6.5</v>
      </c>
      <c r="D204" t="b">
        <v>1</v>
      </c>
      <c r="E204" s="59">
        <v>0.91500000000000004</v>
      </c>
      <c r="F204" s="89" t="s">
        <v>15</v>
      </c>
      <c r="G204" s="22">
        <v>45987</v>
      </c>
      <c r="H204" s="62" cm="1">
        <f t="array" ref="H204">_xlfn.IFS(E204 = 1,$L$3,E204&gt;=0.99,$L$4, E204&gt;=0.95,$L$5, E204&gt;= 0.93, $L$6, E204&gt;= 0.9,$L$7, E204&gt;= 0.85,$L$8, E204&gt;= 0.8,$L$9, E204&gt;= 0.75,$L$10, E204 &gt;= 0.7, $L$11, E204&gt;= 0.65, $L$12, E204&gt;= 0.6, $L$13, E204&gt;= 0.55,$L$14, E204 &gt;= 0.5,$L$15)</f>
        <v>0.55172413793103448</v>
      </c>
    </row>
    <row r="205" spans="1:8" ht="24" x14ac:dyDescent="0.25">
      <c r="A205" t="s">
        <v>24</v>
      </c>
      <c r="B205" t="s">
        <v>132</v>
      </c>
      <c r="C205">
        <v>-9.5</v>
      </c>
      <c r="D205" t="b">
        <v>1</v>
      </c>
      <c r="E205" s="59">
        <v>0.89749999999999996</v>
      </c>
      <c r="F205" s="89" t="s">
        <v>15</v>
      </c>
      <c r="G205" s="22">
        <v>45987</v>
      </c>
      <c r="H205" s="62" cm="1">
        <f t="array" ref="H205">_xlfn.IFS(E205 = 1,$L$3,E205&gt;=0.99,$L$4, E205&gt;=0.95,$L$5, E205&gt;= 0.93, $L$6, E205&gt;= 0.9,$L$7, E205&gt;= 0.85,$L$8, E205&gt;= 0.8,$L$9, E205&gt;= 0.75,$L$10, E205 &gt;= 0.7, $L$11, E205&gt;= 0.65, $L$12, E205&gt;= 0.6, $L$13, E205&gt;= 0.55,$L$14, E205 &gt;= 0.5,$L$15)</f>
        <v>0.61290322580645162</v>
      </c>
    </row>
    <row r="206" spans="1:8" ht="24" x14ac:dyDescent="0.25">
      <c r="A206" t="s">
        <v>245</v>
      </c>
      <c r="B206" t="s">
        <v>69</v>
      </c>
      <c r="C206">
        <v>-4</v>
      </c>
      <c r="D206" t="b">
        <v>1</v>
      </c>
      <c r="E206" s="59">
        <v>0.74</v>
      </c>
      <c r="F206" s="89" t="s">
        <v>18</v>
      </c>
      <c r="G206" s="22">
        <v>45987</v>
      </c>
      <c r="H206" s="62" cm="1">
        <f t="array" ref="H206">_xlfn.IFS(E206 = 1,$L$3,E206&gt;=0.99,$L$4, E206&gt;=0.95,$L$5, E206&gt;= 0.93, $L$6, E206&gt;= 0.9,$L$7, E206&gt;= 0.85,$L$8, E206&gt;= 0.8,$L$9, E206&gt;= 0.75,$L$10, E206 &gt;= 0.7, $L$11, E206&gt;= 0.65, $L$12, E206&gt;= 0.6, $L$13, E206&gt;= 0.55,$L$14, E206 &gt;= 0.5,$L$15)</f>
        <v>0.66666666666666663</v>
      </c>
    </row>
    <row r="207" spans="1:8" ht="24" x14ac:dyDescent="0.25">
      <c r="A207" t="s">
        <v>323</v>
      </c>
      <c r="B207" t="s">
        <v>102</v>
      </c>
      <c r="C207">
        <v>-4.5</v>
      </c>
      <c r="D207" t="b">
        <v>1</v>
      </c>
      <c r="E207" s="59">
        <v>0.73499999999999999</v>
      </c>
      <c r="F207" s="89" t="s">
        <v>15</v>
      </c>
      <c r="G207" s="22">
        <v>45987</v>
      </c>
      <c r="H207" s="62" cm="1">
        <f t="array" ref="H207">_xlfn.IFS(E207 = 1,$L$3,E207&gt;=0.99,$L$4, E207&gt;=0.95,$L$5, E207&gt;= 0.93, $L$6, E207&gt;= 0.9,$L$7, E207&gt;= 0.85,$L$8, E207&gt;= 0.8,$L$9, E207&gt;= 0.75,$L$10, E207 &gt;= 0.7, $L$11, E207&gt;= 0.65, $L$12, E207&gt;= 0.6, $L$13, E207&gt;= 0.55,$L$14, E207 &gt;= 0.5,$L$15)</f>
        <v>0.66666666666666663</v>
      </c>
    </row>
    <row r="208" spans="1:8" ht="24" x14ac:dyDescent="0.25">
      <c r="A208" t="s">
        <v>38</v>
      </c>
      <c r="B208" t="s">
        <v>189</v>
      </c>
      <c r="C208">
        <v>-3.5</v>
      </c>
      <c r="D208" t="b">
        <v>1</v>
      </c>
      <c r="E208" s="59">
        <v>0.66500000000000004</v>
      </c>
      <c r="F208" s="89" t="s">
        <v>18</v>
      </c>
      <c r="G208" s="22">
        <v>45987</v>
      </c>
      <c r="H208" s="62" cm="1">
        <f t="array" ref="H208">_xlfn.IFS(E208 = 1,$L$3,E208&gt;=0.99,$L$4, E208&gt;=0.95,$L$5, E208&gt;= 0.93, $L$6, E208&gt;= 0.9,$L$7, E208&gt;= 0.85,$L$8, E208&gt;= 0.8,$L$9, E208&gt;= 0.75,$L$10, E208 &gt;= 0.7, $L$11, E208&gt;= 0.65, $L$12, E208&gt;= 0.6, $L$13, E208&gt;= 0.55,$L$14, E208 &gt;= 0.5,$L$15)</f>
        <v>0.40909090909090912</v>
      </c>
    </row>
    <row r="209" spans="1:8" ht="24" x14ac:dyDescent="0.25">
      <c r="A209" t="s">
        <v>296</v>
      </c>
      <c r="B209" t="s">
        <v>277</v>
      </c>
      <c r="C209">
        <v>-2.5</v>
      </c>
      <c r="D209" t="b">
        <v>1</v>
      </c>
      <c r="E209" s="59">
        <v>0.55500000000000005</v>
      </c>
      <c r="F209" s="89" t="s">
        <v>18</v>
      </c>
      <c r="G209" s="22">
        <v>45987</v>
      </c>
      <c r="H209" s="62" cm="1">
        <f t="array" ref="H209">_xlfn.IFS(E209 = 1,$L$3,E209&gt;=0.99,$L$4, E209&gt;=0.95,$L$5, E209&gt;= 0.93, $L$6, E209&gt;= 0.9,$L$7, E209&gt;= 0.85,$L$8, E209&gt;= 0.8,$L$9, E209&gt;= 0.75,$L$10, E209 &gt;= 0.7, $L$11, E209&gt;= 0.65, $L$12, E209&gt;= 0.6, $L$13, E209&gt;= 0.55,$L$14, E209 &gt;= 0.5,$L$15)</f>
        <v>0.4375</v>
      </c>
    </row>
    <row r="210" spans="1:8" ht="24" x14ac:dyDescent="0.25">
      <c r="A210" t="s">
        <v>212</v>
      </c>
      <c r="B210" t="s">
        <v>129</v>
      </c>
      <c r="C210">
        <v>-20</v>
      </c>
      <c r="D210" t="b">
        <v>1</v>
      </c>
      <c r="E210" s="59">
        <v>1</v>
      </c>
      <c r="F210" s="88" t="s">
        <v>18</v>
      </c>
      <c r="G210" s="22">
        <v>45986</v>
      </c>
      <c r="H210" s="62" cm="1">
        <f t="array" ref="H210">_xlfn.IFS(E210 = 1,$L$3,E210&gt;=0.99,$L$4, E210&gt;=0.95,$L$5, E210&gt;= 0.93, $L$6, E210&gt;= 0.9,$L$7, E210&gt;= 0.85,$L$8, E210&gt;= 0.8,$L$9, E210&gt;= 0.75,$L$10, E210 &gt;= 0.7, $L$11, E210&gt;= 0.65, $L$12, E210&gt;= 0.6, $L$13, E210&gt;= 0.55,$L$14, E210 &gt;= 0.5,$L$15)</f>
        <v>0.56060606060606055</v>
      </c>
    </row>
    <row r="211" spans="1:8" ht="24" x14ac:dyDescent="0.25">
      <c r="A211" t="s">
        <v>75</v>
      </c>
      <c r="B211" t="s">
        <v>124</v>
      </c>
      <c r="C211">
        <v>-17.5</v>
      </c>
      <c r="D211" t="b">
        <v>1</v>
      </c>
      <c r="E211" s="59">
        <v>1</v>
      </c>
      <c r="F211" s="88" t="s">
        <v>15</v>
      </c>
      <c r="G211" s="22">
        <v>45986</v>
      </c>
      <c r="H211" s="62" cm="1">
        <f t="array" ref="H211">_xlfn.IFS(E211 = 1,$L$3,E211&gt;=0.99,$L$4, E211&gt;=0.95,$L$5, E211&gt;= 0.93, $L$6, E211&gt;= 0.9,$L$7, E211&gt;= 0.85,$L$8, E211&gt;= 0.8,$L$9, E211&gt;= 0.75,$L$10, E211 &gt;= 0.7, $L$11, E211&gt;= 0.65, $L$12, E211&gt;= 0.6, $L$13, E211&gt;= 0.55,$L$14, E211 &gt;= 0.5,$L$15)</f>
        <v>0.56060606060606055</v>
      </c>
    </row>
    <row r="212" spans="1:8" ht="24" x14ac:dyDescent="0.25">
      <c r="A212" t="s">
        <v>237</v>
      </c>
      <c r="B212" t="s">
        <v>37</v>
      </c>
      <c r="C212">
        <v>-16</v>
      </c>
      <c r="D212" t="b">
        <v>1</v>
      </c>
      <c r="E212" s="59">
        <v>0.97750000000000004</v>
      </c>
      <c r="F212" s="88" t="s">
        <v>18</v>
      </c>
      <c r="G212" s="22">
        <v>45986</v>
      </c>
      <c r="H212" s="62" cm="1">
        <f t="array" ref="H212">_xlfn.IFS(E212 = 1,$L$3,E212&gt;=0.99,$L$4, E212&gt;=0.95,$L$5, E212&gt;= 0.93, $L$6, E212&gt;= 0.9,$L$7, E212&gt;= 0.85,$L$8, E212&gt;= 0.8,$L$9, E212&gt;= 0.75,$L$10, E212 &gt;= 0.7, $L$11, E212&gt;= 0.65, $L$12, E212&gt;= 0.6, $L$13, E212&gt;= 0.55,$L$14, E212 &gt;= 0.5,$L$15)</f>
        <v>0.4838709677419355</v>
      </c>
    </row>
    <row r="213" spans="1:8" ht="24" x14ac:dyDescent="0.25">
      <c r="A213" t="s">
        <v>241</v>
      </c>
      <c r="B213" t="s">
        <v>204</v>
      </c>
      <c r="C213">
        <v>-13.5</v>
      </c>
      <c r="D213" t="b">
        <v>1</v>
      </c>
      <c r="E213" s="59">
        <v>0.97499999999999998</v>
      </c>
      <c r="F213" s="88" t="s">
        <v>18</v>
      </c>
      <c r="G213" s="22">
        <v>45986</v>
      </c>
      <c r="H213" s="62" cm="1">
        <f t="array" ref="H213">_xlfn.IFS(E213 = 1,$L$3,E213&gt;=0.99,$L$4, E213&gt;=0.95,$L$5, E213&gt;= 0.93, $L$6, E213&gt;= 0.9,$L$7, E213&gt;= 0.85,$L$8, E213&gt;= 0.8,$L$9, E213&gt;= 0.75,$L$10, E213 &gt;= 0.7, $L$11, E213&gt;= 0.65, $L$12, E213&gt;= 0.6, $L$13, E213&gt;= 0.55,$L$14, E213 &gt;= 0.5,$L$15)</f>
        <v>0.4838709677419355</v>
      </c>
    </row>
    <row r="214" spans="1:8" ht="24" x14ac:dyDescent="0.25">
      <c r="A214" t="s">
        <v>316</v>
      </c>
      <c r="B214" t="s">
        <v>258</v>
      </c>
      <c r="C214">
        <v>-9.5</v>
      </c>
      <c r="D214" t="b">
        <v>1</v>
      </c>
      <c r="E214" s="59">
        <v>0.97499999999999998</v>
      </c>
      <c r="F214" s="88" t="s">
        <v>15</v>
      </c>
      <c r="G214" s="22">
        <v>45986</v>
      </c>
      <c r="H214" s="62" cm="1">
        <f t="array" ref="H214">_xlfn.IFS(E214 = 1,$L$3,E214&gt;=0.99,$L$4, E214&gt;=0.95,$L$5, E214&gt;= 0.93, $L$6, E214&gt;= 0.9,$L$7, E214&gt;= 0.85,$L$8, E214&gt;= 0.8,$L$9, E214&gt;= 0.75,$L$10, E214 &gt;= 0.7, $L$11, E214&gt;= 0.65, $L$12, E214&gt;= 0.6, $L$13, E214&gt;= 0.55,$L$14, E214 &gt;= 0.5,$L$15)</f>
        <v>0.4838709677419355</v>
      </c>
    </row>
    <row r="215" spans="1:8" ht="24" x14ac:dyDescent="0.25">
      <c r="A215" t="s">
        <v>13</v>
      </c>
      <c r="B215" t="s">
        <v>183</v>
      </c>
      <c r="C215">
        <v>-7.5</v>
      </c>
      <c r="D215" t="b">
        <v>1</v>
      </c>
      <c r="E215" s="59">
        <v>0.97250000000000003</v>
      </c>
      <c r="F215" s="88" t="s">
        <v>15</v>
      </c>
      <c r="G215" s="22">
        <v>45986</v>
      </c>
      <c r="H215" s="62" cm="1">
        <f t="array" ref="H215">_xlfn.IFS(E215 = 1,$L$3,E215&gt;=0.99,$L$4, E215&gt;=0.95,$L$5, E215&gt;= 0.93, $L$6, E215&gt;= 0.9,$L$7, E215&gt;= 0.85,$L$8, E215&gt;= 0.8,$L$9, E215&gt;= 0.75,$L$10, E215 &gt;= 0.7, $L$11, E215&gt;= 0.65, $L$12, E215&gt;= 0.6, $L$13, E215&gt;= 0.55,$L$14, E215 &gt;= 0.5,$L$15)</f>
        <v>0.4838709677419355</v>
      </c>
    </row>
    <row r="216" spans="1:8" ht="24" x14ac:dyDescent="0.25">
      <c r="A216" t="s">
        <v>280</v>
      </c>
      <c r="B216" t="s">
        <v>188</v>
      </c>
      <c r="C216">
        <v>-9</v>
      </c>
      <c r="D216" t="b">
        <v>1</v>
      </c>
      <c r="E216" s="59">
        <v>0.78500000000000003</v>
      </c>
      <c r="F216" s="88" t="s">
        <v>18</v>
      </c>
      <c r="G216" s="22">
        <v>45986</v>
      </c>
      <c r="H216" s="62" cm="1">
        <f t="array" ref="H216">_xlfn.IFS(E216 = 1,$L$3,E216&gt;=0.99,$L$4, E216&gt;=0.95,$L$5, E216&gt;= 0.93, $L$6, E216&gt;= 0.9,$L$7, E216&gt;= 0.85,$L$8, E216&gt;= 0.8,$L$9, E216&gt;= 0.75,$L$10, E216 &gt;= 0.7, $L$11, E216&gt;= 0.65, $L$12, E216&gt;= 0.6, $L$13, E216&gt;= 0.55,$L$14, E216 &gt;= 0.5,$L$15)</f>
        <v>0.42105263157894735</v>
      </c>
    </row>
    <row r="217" spans="1:8" ht="24" x14ac:dyDescent="0.25">
      <c r="A217" t="s">
        <v>232</v>
      </c>
      <c r="B217" t="s">
        <v>320</v>
      </c>
      <c r="C217">
        <v>-2</v>
      </c>
      <c r="D217" t="b">
        <v>1</v>
      </c>
      <c r="E217" s="59">
        <v>0.68</v>
      </c>
      <c r="F217" s="88" t="s">
        <v>18</v>
      </c>
      <c r="G217" s="22">
        <v>45986</v>
      </c>
      <c r="H217" s="62" cm="1">
        <f t="array" ref="H217">_xlfn.IFS(E217 = 1,$L$3,E217&gt;=0.99,$L$4, E217&gt;=0.95,$L$5, E217&gt;= 0.93, $L$6, E217&gt;= 0.9,$L$7, E217&gt;= 0.85,$L$8, E217&gt;= 0.8,$L$9, E217&gt;= 0.75,$L$10, E217 &gt;= 0.7, $L$11, E217&gt;= 0.65, $L$12, E217&gt;= 0.6, $L$13, E217&gt;= 0.55,$L$14, E217 &gt;= 0.5,$L$15)</f>
        <v>0.40909090909090912</v>
      </c>
    </row>
    <row r="218" spans="1:8" ht="24" x14ac:dyDescent="0.25">
      <c r="A218" s="85" t="s">
        <v>259</v>
      </c>
      <c r="B218" s="81" t="s">
        <v>171</v>
      </c>
      <c r="C218" s="81">
        <v>-34.5</v>
      </c>
      <c r="D218" s="81" t="b">
        <v>1</v>
      </c>
      <c r="E218" s="83">
        <v>1</v>
      </c>
      <c r="F218" s="84" t="s">
        <v>18</v>
      </c>
      <c r="G218" s="82">
        <v>45985</v>
      </c>
      <c r="H218" s="62" cm="1">
        <f t="array" ref="H218">_xlfn.IFS(E218 = 1,$L$3,E218&gt;=0.99,$L$4, E218&gt;=0.95,$L$5, E218&gt;= 0.93, $L$6, E218&gt;= 0.9,$L$7, E218&gt;= 0.85,$L$8, E218&gt;= 0.8,$L$9, E218&gt;= 0.75,$L$10, E218 &gt;= 0.7, $L$11, E218&gt;= 0.65, $L$12, E218&gt;= 0.6, $L$13, E218&gt;= 0.55,$L$14, E218 &gt;= 0.5,$L$15)</f>
        <v>0.56060606060606055</v>
      </c>
    </row>
    <row r="219" spans="1:8" ht="24" x14ac:dyDescent="0.25">
      <c r="A219" s="81" t="s">
        <v>193</v>
      </c>
      <c r="B219" s="81" t="s">
        <v>256</v>
      </c>
      <c r="C219" s="81">
        <v>-23.5</v>
      </c>
      <c r="D219" s="81" t="b">
        <v>1</v>
      </c>
      <c r="E219" s="83">
        <v>0.995</v>
      </c>
      <c r="F219" s="84" t="s">
        <v>18</v>
      </c>
      <c r="G219" s="82">
        <v>45985</v>
      </c>
      <c r="H219" s="62" cm="1">
        <f t="array" ref="H219">_xlfn.IFS(E219 = 1,$L$3,E219&gt;=0.99,$L$4, E219&gt;=0.95,$L$5, E219&gt;= 0.93, $L$6, E219&gt;= 0.9,$L$7, E219&gt;= 0.85,$L$8, E219&gt;= 0.8,$L$9, E219&gt;= 0.75,$L$10, E219 &gt;= 0.7, $L$11, E219&gt;= 0.65, $L$12, E219&gt;= 0.6, $L$13, E219&gt;= 0.55,$L$14, E219 &gt;= 0.5,$L$15)</f>
        <v>0.484375</v>
      </c>
    </row>
    <row r="220" spans="1:8" ht="24" x14ac:dyDescent="0.25">
      <c r="A220" s="81" t="s">
        <v>325</v>
      </c>
      <c r="B220" s="81" t="s">
        <v>391</v>
      </c>
      <c r="C220" s="81">
        <v>-25</v>
      </c>
      <c r="D220" s="81" t="b">
        <v>1</v>
      </c>
      <c r="E220" s="83">
        <v>0.98499999999999999</v>
      </c>
      <c r="F220" s="84" t="s">
        <v>18</v>
      </c>
      <c r="G220" s="82">
        <v>45985</v>
      </c>
      <c r="H220" s="62" cm="1">
        <f t="array" ref="H220">_xlfn.IFS(E220 = 1,$L$3,E220&gt;=0.99,$L$4, E220&gt;=0.95,$L$5, E220&gt;= 0.93, $L$6, E220&gt;= 0.9,$L$7, E220&gt;= 0.85,$L$8, E220&gt;= 0.8,$L$9, E220&gt;= 0.75,$L$10, E220 &gt;= 0.7, $L$11, E220&gt;= 0.65, $L$12, E220&gt;= 0.6, $L$13, E220&gt;= 0.55,$L$14, E220 &gt;= 0.5,$L$15)</f>
        <v>0.4838709677419355</v>
      </c>
    </row>
    <row r="221" spans="1:8" ht="24" x14ac:dyDescent="0.25">
      <c r="A221" s="81" t="s">
        <v>24</v>
      </c>
      <c r="B221" s="81" t="s">
        <v>16</v>
      </c>
      <c r="C221" s="81">
        <v>-33.5</v>
      </c>
      <c r="D221" s="81" t="b">
        <v>1</v>
      </c>
      <c r="E221" s="83">
        <v>0.98499999999999999</v>
      </c>
      <c r="F221" s="84" t="s">
        <v>18</v>
      </c>
      <c r="G221" s="82">
        <v>45985</v>
      </c>
      <c r="H221" s="62" cm="1">
        <f t="array" ref="H221">_xlfn.IFS(E221 = 1,$L$3,E221&gt;=0.99,$L$4, E221&gt;=0.95,$L$5, E221&gt;= 0.93, $L$6, E221&gt;= 0.9,$L$7, E221&gt;= 0.85,$L$8, E221&gt;= 0.8,$L$9, E221&gt;= 0.75,$L$10, E221 &gt;= 0.7, $L$11, E221&gt;= 0.65, $L$12, E221&gt;= 0.6, $L$13, E221&gt;= 0.55,$L$14, E221 &gt;= 0.5,$L$15)</f>
        <v>0.4838709677419355</v>
      </c>
    </row>
    <row r="222" spans="1:8" ht="24" x14ac:dyDescent="0.25">
      <c r="A222" s="81" t="s">
        <v>174</v>
      </c>
      <c r="B222" s="81" t="s">
        <v>367</v>
      </c>
      <c r="C222" s="81">
        <v>-10</v>
      </c>
      <c r="D222" s="81" t="b">
        <v>1</v>
      </c>
      <c r="E222" s="83">
        <v>0.96750000000000003</v>
      </c>
      <c r="F222" s="84" t="s">
        <v>15</v>
      </c>
      <c r="G222" s="82">
        <v>45985</v>
      </c>
      <c r="H222" s="62" cm="1">
        <f t="array" ref="H222">_xlfn.IFS(E222 = 1,$L$3,E222&gt;=0.99,$L$4, E222&gt;=0.95,$L$5, E222&gt;= 0.93, $L$6, E222&gt;= 0.9,$L$7, E222&gt;= 0.85,$L$8, E222&gt;= 0.8,$L$9, E222&gt;= 0.75,$L$10, E222 &gt;= 0.7, $L$11, E222&gt;= 0.65, $L$12, E222&gt;= 0.6, $L$13, E222&gt;= 0.55,$L$14, E222 &gt;= 0.5,$L$15)</f>
        <v>0.4838709677419355</v>
      </c>
    </row>
    <row r="223" spans="1:8" ht="24" x14ac:dyDescent="0.25">
      <c r="A223" s="81" t="s">
        <v>34</v>
      </c>
      <c r="B223" s="81" t="s">
        <v>326</v>
      </c>
      <c r="C223" s="81">
        <v>-5</v>
      </c>
      <c r="D223" s="81" t="b">
        <v>1</v>
      </c>
      <c r="E223" s="83">
        <v>0.75249999999999995</v>
      </c>
      <c r="F223" s="84" t="s">
        <v>15</v>
      </c>
      <c r="G223" s="82">
        <v>45985</v>
      </c>
      <c r="H223" s="62" cm="1">
        <f t="array" ref="H223">_xlfn.IFS(E223 = 1,$L$3,E223&gt;=0.99,$L$4, E223&gt;=0.95,$L$5, E223&gt;= 0.93, $L$6, E223&gt;= 0.9,$L$7, E223&gt;= 0.85,$L$8, E223&gt;= 0.8,$L$9, E223&gt;= 0.75,$L$10, E223 &gt;= 0.7, $L$11, E223&gt;= 0.65, $L$12, E223&gt;= 0.6, $L$13, E223&gt;= 0.55,$L$14, E223 &gt;= 0.5,$L$15)</f>
        <v>0.42105263157894735</v>
      </c>
    </row>
    <row r="224" spans="1:8" ht="24" x14ac:dyDescent="0.25">
      <c r="A224" s="81" t="s">
        <v>199</v>
      </c>
      <c r="B224" s="81" t="s">
        <v>361</v>
      </c>
      <c r="C224" s="81">
        <v>-3.5</v>
      </c>
      <c r="D224" s="81" t="b">
        <v>0</v>
      </c>
      <c r="E224" s="83">
        <v>0.59</v>
      </c>
      <c r="F224" s="84" t="s">
        <v>15</v>
      </c>
      <c r="G224" s="82">
        <v>45985</v>
      </c>
      <c r="H224" s="62" cm="1">
        <f t="array" ref="H224">_xlfn.IFS(E224 = 1,$L$3,E224&gt;=0.99,$L$4, E224&gt;=0.95,$L$5, E224&gt;= 0.93, $L$6, E224&gt;= 0.9,$L$7, E224&gt;= 0.85,$L$8, E224&gt;= 0.8,$L$9, E224&gt;= 0.75,$L$10, E224 &gt;= 0.7, $L$11, E224&gt;= 0.65, $L$12, E224&gt;= 0.6, $L$13, E224&gt;= 0.55,$L$14, E224 &gt;= 0.5,$L$15)</f>
        <v>0.4375</v>
      </c>
    </row>
    <row r="225" spans="1:8" ht="24" x14ac:dyDescent="0.25">
      <c r="A225" s="78" t="s">
        <v>88</v>
      </c>
      <c r="B225" s="78" t="s">
        <v>242</v>
      </c>
      <c r="C225" s="78">
        <v>-25.5</v>
      </c>
      <c r="D225" s="78" t="b">
        <v>1</v>
      </c>
      <c r="E225" s="83">
        <v>1</v>
      </c>
      <c r="F225" s="77" t="s">
        <v>15</v>
      </c>
      <c r="G225" s="79">
        <v>45982</v>
      </c>
      <c r="H225" s="62" cm="1">
        <f t="array" ref="H225">_xlfn.IFS(E225 = 1,$L$3,E225&gt;=0.99,$L$4, E225&gt;=0.95,$L$5, E225&gt;= 0.93, $L$6, E225&gt;= 0.9,$L$7, E225&gt;= 0.85,$L$8, E225&gt;= 0.8,$L$9, E225&gt;= 0.75,$L$10, E225 &gt;= 0.7, $L$11, E225&gt;= 0.65, $L$12, E225&gt;= 0.6, $L$13, E225&gt;= 0.55,$L$14, E225 &gt;= 0.5,$L$15)</f>
        <v>0.56060606060606055</v>
      </c>
    </row>
    <row r="226" spans="1:8" ht="24" x14ac:dyDescent="0.25">
      <c r="A226" s="78" t="s">
        <v>206</v>
      </c>
      <c r="B226" s="78" t="s">
        <v>127</v>
      </c>
      <c r="C226" s="78">
        <v>-36</v>
      </c>
      <c r="D226" s="78" t="b">
        <v>1</v>
      </c>
      <c r="E226" s="83">
        <v>1</v>
      </c>
      <c r="F226" s="77" t="s">
        <v>18</v>
      </c>
      <c r="G226" s="79">
        <v>45982</v>
      </c>
      <c r="H226" s="62" cm="1">
        <f t="array" ref="H226">_xlfn.IFS(E226 = 1,$L$3,E226&gt;=0.99,$L$4, E226&gt;=0.95,$L$5, E226&gt;= 0.93, $L$6, E226&gt;= 0.9,$L$7, E226&gt;= 0.85,$L$8, E226&gt;= 0.8,$L$9, E226&gt;= 0.75,$L$10, E226 &gt;= 0.7, $L$11, E226&gt;= 0.65, $L$12, E226&gt;= 0.6, $L$13, E226&gt;= 0.55,$L$14, E226 &gt;= 0.5,$L$15)</f>
        <v>0.56060606060606055</v>
      </c>
    </row>
    <row r="227" spans="1:8" ht="24" x14ac:dyDescent="0.25">
      <c r="A227" s="78" t="s">
        <v>246</v>
      </c>
      <c r="B227" s="78" t="s">
        <v>84</v>
      </c>
      <c r="C227" s="78">
        <v>-34.5</v>
      </c>
      <c r="D227" s="78" t="b">
        <v>1</v>
      </c>
      <c r="E227" s="83">
        <v>1</v>
      </c>
      <c r="F227" s="77" t="s">
        <v>15</v>
      </c>
      <c r="G227" s="79">
        <v>45982</v>
      </c>
      <c r="H227" s="62" cm="1">
        <f t="array" ref="H227">_xlfn.IFS(E227 = 1,$L$3,E227&gt;=0.99,$L$4, E227&gt;=0.95,$L$5, E227&gt;= 0.93, $L$6, E227&gt;= 0.9,$L$7, E227&gt;= 0.85,$L$8, E227&gt;= 0.8,$L$9, E227&gt;= 0.75,$L$10, E227 &gt;= 0.7, $L$11, E227&gt;= 0.65, $L$12, E227&gt;= 0.6, $L$13, E227&gt;= 0.55,$L$14, E227 &gt;= 0.5,$L$15)</f>
        <v>0.56060606060606055</v>
      </c>
    </row>
    <row r="228" spans="1:8" ht="24" x14ac:dyDescent="0.25">
      <c r="A228" s="78" t="s">
        <v>311</v>
      </c>
      <c r="B228" s="78" t="s">
        <v>50</v>
      </c>
      <c r="C228" s="78">
        <v>-29.5</v>
      </c>
      <c r="D228" s="78" t="b">
        <v>1</v>
      </c>
      <c r="E228" s="83">
        <v>1</v>
      </c>
      <c r="F228" s="77" t="s">
        <v>15</v>
      </c>
      <c r="G228" s="79">
        <v>45982</v>
      </c>
      <c r="H228" s="62" cm="1">
        <f t="array" ref="H228">_xlfn.IFS(E228 = 1,$L$3,E228&gt;=0.99,$L$4, E228&gt;=0.95,$L$5, E228&gt;= 0.93, $L$6, E228&gt;= 0.9,$L$7, E228&gt;= 0.85,$L$8, E228&gt;= 0.8,$L$9, E228&gt;= 0.75,$L$10, E228 &gt;= 0.7, $L$11, E228&gt;= 0.65, $L$12, E228&gt;= 0.6, $L$13, E228&gt;= 0.55,$L$14, E228 &gt;= 0.5,$L$15)</f>
        <v>0.56060606060606055</v>
      </c>
    </row>
    <row r="229" spans="1:8" ht="24" x14ac:dyDescent="0.25">
      <c r="A229" s="78" t="s">
        <v>174</v>
      </c>
      <c r="B229" s="78" t="s">
        <v>92</v>
      </c>
      <c r="C229" s="78">
        <v>-19</v>
      </c>
      <c r="D229" s="78" t="b">
        <v>1</v>
      </c>
      <c r="E229" s="83">
        <v>0.99750000000000005</v>
      </c>
      <c r="F229" s="77" t="s">
        <v>15</v>
      </c>
      <c r="G229" s="79">
        <v>45982</v>
      </c>
      <c r="H229" s="62" cm="1">
        <f t="array" ref="H229">_xlfn.IFS(E229 = 1,$L$3,E229&gt;=0.99,$L$4, E229&gt;=0.95,$L$5, E229&gt;= 0.93, $L$6, E229&gt;= 0.9,$L$7, E229&gt;= 0.85,$L$8, E229&gt;= 0.8,$L$9, E229&gt;= 0.75,$L$10, E229 &gt;= 0.7, $L$11, E229&gt;= 0.65, $L$12, E229&gt;= 0.6, $L$13, E229&gt;= 0.55,$L$14, E229 &gt;= 0.5,$L$15)</f>
        <v>0.484375</v>
      </c>
    </row>
    <row r="230" spans="1:8" ht="24" x14ac:dyDescent="0.25">
      <c r="A230" s="78" t="s">
        <v>234</v>
      </c>
      <c r="B230" s="78" t="s">
        <v>284</v>
      </c>
      <c r="C230" s="78">
        <v>-30</v>
      </c>
      <c r="D230" s="78" t="b">
        <v>1</v>
      </c>
      <c r="E230" s="83">
        <v>0.995</v>
      </c>
      <c r="F230" s="77" t="s">
        <v>18</v>
      </c>
      <c r="G230" s="79">
        <v>45982</v>
      </c>
      <c r="H230" s="62" cm="1">
        <f t="array" ref="H230">_xlfn.IFS(E230 = 1,$L$3,E230&gt;=0.99,$L$4, E230&gt;=0.95,$L$5, E230&gt;= 0.93, $L$6, E230&gt;= 0.9,$L$7, E230&gt;= 0.85,$L$8, E230&gt;= 0.8,$L$9, E230&gt;= 0.75,$L$10, E230 &gt;= 0.7, $L$11, E230&gt;= 0.65, $L$12, E230&gt;= 0.6, $L$13, E230&gt;= 0.55,$L$14, E230 &gt;= 0.5,$L$15)</f>
        <v>0.484375</v>
      </c>
    </row>
    <row r="231" spans="1:8" ht="24" x14ac:dyDescent="0.25">
      <c r="A231" s="78" t="s">
        <v>367</v>
      </c>
      <c r="B231" s="78" t="s">
        <v>81</v>
      </c>
      <c r="C231" s="78">
        <v>-15.5</v>
      </c>
      <c r="D231" s="78" t="b">
        <v>1</v>
      </c>
      <c r="E231" s="83">
        <v>0.99250000000000005</v>
      </c>
      <c r="F231" s="77" t="s">
        <v>15</v>
      </c>
      <c r="G231" s="79">
        <v>45982</v>
      </c>
      <c r="H231" s="62" cm="1">
        <f t="array" ref="H231">_xlfn.IFS(E231 = 1,$L$3,E231&gt;=0.99,$L$4, E231&gt;=0.95,$L$5, E231&gt;= 0.93, $L$6, E231&gt;= 0.9,$L$7, E231&gt;= 0.85,$L$8, E231&gt;= 0.8,$L$9, E231&gt;= 0.75,$L$10, E231 &gt;= 0.7, $L$11, E231&gt;= 0.65, $L$12, E231&gt;= 0.6, $L$13, E231&gt;= 0.55,$L$14, E231 &gt;= 0.5,$L$15)</f>
        <v>0.484375</v>
      </c>
    </row>
    <row r="232" spans="1:8" ht="24" x14ac:dyDescent="0.25">
      <c r="A232" s="78" t="s">
        <v>294</v>
      </c>
      <c r="B232" s="78" t="s">
        <v>256</v>
      </c>
      <c r="C232" s="78">
        <v>-17.5</v>
      </c>
      <c r="D232" s="78" t="b">
        <v>1</v>
      </c>
      <c r="E232" s="83">
        <v>0.99</v>
      </c>
      <c r="F232" s="77" t="s">
        <v>15</v>
      </c>
      <c r="G232" s="79">
        <v>45982</v>
      </c>
      <c r="H232" s="62" cm="1">
        <f t="array" ref="H232">_xlfn.IFS(E232 = 1,$L$3,E232&gt;=0.99,$L$4, E232&gt;=0.95,$L$5, E232&gt;= 0.93, $L$6, E232&gt;= 0.9,$L$7, E232&gt;= 0.85,$L$8, E232&gt;= 0.8,$L$9, E232&gt;= 0.75,$L$10, E232 &gt;= 0.7, $L$11, E232&gt;= 0.65, $L$12, E232&gt;= 0.6, $L$13, E232&gt;= 0.55,$L$14, E232 &gt;= 0.5,$L$15)</f>
        <v>0.484375</v>
      </c>
    </row>
    <row r="233" spans="1:8" ht="24" x14ac:dyDescent="0.25">
      <c r="A233" s="78" t="s">
        <v>189</v>
      </c>
      <c r="B233" s="78" t="s">
        <v>51</v>
      </c>
      <c r="C233" s="78">
        <v>-23.5</v>
      </c>
      <c r="D233" s="78" t="b">
        <v>1</v>
      </c>
      <c r="E233" s="83">
        <v>0.98250000000000004</v>
      </c>
      <c r="F233" s="77" t="s">
        <v>15</v>
      </c>
      <c r="G233" s="79">
        <v>45982</v>
      </c>
      <c r="H233" s="62" cm="1">
        <f t="array" ref="H233">_xlfn.IFS(E233 = 1,$L$3,E233&gt;=0.99,$L$4, E233&gt;=0.95,$L$5, E233&gt;= 0.93, $L$6, E233&gt;= 0.9,$L$7, E233&gt;= 0.85,$L$8, E233&gt;= 0.8,$L$9, E233&gt;= 0.75,$L$10, E233 &gt;= 0.7, $L$11, E233&gt;= 0.65, $L$12, E233&gt;= 0.6, $L$13, E233&gt;= 0.55,$L$14, E233 &gt;= 0.5,$L$15)</f>
        <v>0.4838709677419355</v>
      </c>
    </row>
    <row r="234" spans="1:8" ht="24" x14ac:dyDescent="0.25">
      <c r="A234" s="78" t="s">
        <v>24</v>
      </c>
      <c r="B234" s="78" t="s">
        <v>351</v>
      </c>
      <c r="C234" s="78">
        <v>-18</v>
      </c>
      <c r="D234" s="78" t="b">
        <v>1</v>
      </c>
      <c r="E234" s="83">
        <v>0.98250000000000004</v>
      </c>
      <c r="F234" s="77" t="s">
        <v>18</v>
      </c>
      <c r="G234" s="79">
        <v>45982</v>
      </c>
      <c r="H234" s="62" cm="1">
        <f t="array" ref="H234">_xlfn.IFS(E234 = 1,$L$3,E234&gt;=0.99,$L$4, E234&gt;=0.95,$L$5, E234&gt;= 0.93, $L$6, E234&gt;= 0.9,$L$7, E234&gt;= 0.85,$L$8, E234&gt;= 0.8,$L$9, E234&gt;= 0.75,$L$10, E234 &gt;= 0.7, $L$11, E234&gt;= 0.65, $L$12, E234&gt;= 0.6, $L$13, E234&gt;= 0.55,$L$14, E234 &gt;= 0.5,$L$15)</f>
        <v>0.4838709677419355</v>
      </c>
    </row>
    <row r="235" spans="1:8" ht="24" x14ac:dyDescent="0.25">
      <c r="A235" s="78" t="s">
        <v>322</v>
      </c>
      <c r="B235" s="78" t="s">
        <v>185</v>
      </c>
      <c r="C235" s="78">
        <v>-10.5</v>
      </c>
      <c r="D235" s="78" t="b">
        <v>1</v>
      </c>
      <c r="E235" s="83">
        <v>0.97750000000000004</v>
      </c>
      <c r="F235" s="77" t="s">
        <v>18</v>
      </c>
      <c r="G235" s="79">
        <v>45982</v>
      </c>
      <c r="H235" s="62" cm="1">
        <f t="array" ref="H235">_xlfn.IFS(E235 = 1,$L$3,E235&gt;=0.99,$L$4, E235&gt;=0.95,$L$5, E235&gt;= 0.93, $L$6, E235&gt;= 0.9,$L$7, E235&gt;= 0.85,$L$8, E235&gt;= 0.8,$L$9, E235&gt;= 0.75,$L$10, E235 &gt;= 0.7, $L$11, E235&gt;= 0.65, $L$12, E235&gt;= 0.6, $L$13, E235&gt;= 0.55,$L$14, E235 &gt;= 0.5,$L$15)</f>
        <v>0.4838709677419355</v>
      </c>
    </row>
    <row r="236" spans="1:8" ht="24" x14ac:dyDescent="0.25">
      <c r="A236" s="78" t="s">
        <v>86</v>
      </c>
      <c r="B236" s="78" t="s">
        <v>183</v>
      </c>
      <c r="C236" s="78">
        <v>-14.5</v>
      </c>
      <c r="D236" s="78" t="b">
        <v>1</v>
      </c>
      <c r="E236" s="83">
        <v>0.96499999999999997</v>
      </c>
      <c r="F236" s="77" t="s">
        <v>18</v>
      </c>
      <c r="G236" s="79">
        <v>45982</v>
      </c>
      <c r="H236" s="62" cm="1">
        <f t="array" ref="H236">_xlfn.IFS(E236 = 1,$L$3,E236&gt;=0.99,$L$4, E236&gt;=0.95,$L$5, E236&gt;= 0.93, $L$6, E236&gt;= 0.9,$L$7, E236&gt;= 0.85,$L$8, E236&gt;= 0.8,$L$9, E236&gt;= 0.75,$L$10, E236 &gt;= 0.7, $L$11, E236&gt;= 0.65, $L$12, E236&gt;= 0.6, $L$13, E236&gt;= 0.55,$L$14, E236 &gt;= 0.5,$L$15)</f>
        <v>0.4838709677419355</v>
      </c>
    </row>
    <row r="237" spans="1:8" ht="24" x14ac:dyDescent="0.25">
      <c r="A237" s="78" t="s">
        <v>359</v>
      </c>
      <c r="B237" s="78" t="s">
        <v>212</v>
      </c>
      <c r="C237" s="78">
        <v>-13.5</v>
      </c>
      <c r="D237" s="78" t="b">
        <v>1</v>
      </c>
      <c r="E237" s="83">
        <v>0.96250000000000002</v>
      </c>
      <c r="F237" s="77" t="s">
        <v>15</v>
      </c>
      <c r="G237" s="79">
        <v>45982</v>
      </c>
      <c r="H237" s="62" cm="1">
        <f t="array" ref="H237">_xlfn.IFS(E237 = 1,$L$3,E237&gt;=0.99,$L$4, E237&gt;=0.95,$L$5, E237&gt;= 0.93, $L$6, E237&gt;= 0.9,$L$7, E237&gt;= 0.85,$L$8, E237&gt;= 0.8,$L$9, E237&gt;= 0.75,$L$10, E237 &gt;= 0.7, $L$11, E237&gt;= 0.65, $L$12, E237&gt;= 0.6, $L$13, E237&gt;= 0.55,$L$14, E237 &gt;= 0.5,$L$15)</f>
        <v>0.4838709677419355</v>
      </c>
    </row>
    <row r="238" spans="1:8" ht="24" x14ac:dyDescent="0.25">
      <c r="A238" s="78" t="s">
        <v>197</v>
      </c>
      <c r="B238" s="78" t="s">
        <v>73</v>
      </c>
      <c r="C238" s="78">
        <v>-10.5</v>
      </c>
      <c r="D238" s="78" t="b">
        <v>1</v>
      </c>
      <c r="E238" s="83">
        <v>0.96250000000000002</v>
      </c>
      <c r="F238" s="77" t="s">
        <v>18</v>
      </c>
      <c r="G238" s="79">
        <v>45982</v>
      </c>
      <c r="H238" s="62" cm="1">
        <f t="array" ref="H238">_xlfn.IFS(E238 = 1,$L$3,E238&gt;=0.99,$L$4, E238&gt;=0.95,$L$5, E238&gt;= 0.93, $L$6, E238&gt;= 0.9,$L$7, E238&gt;= 0.85,$L$8, E238&gt;= 0.8,$L$9, E238&gt;= 0.75,$L$10, E238 &gt;= 0.7, $L$11, E238&gt;= 0.65, $L$12, E238&gt;= 0.6, $L$13, E238&gt;= 0.55,$L$14, E238 &gt;= 0.5,$L$15)</f>
        <v>0.4838709677419355</v>
      </c>
    </row>
    <row r="239" spans="1:8" ht="24" x14ac:dyDescent="0.25">
      <c r="A239" s="78" t="s">
        <v>159</v>
      </c>
      <c r="B239" s="78" t="s">
        <v>390</v>
      </c>
      <c r="C239" s="78">
        <v>-7</v>
      </c>
      <c r="D239" s="78" t="b">
        <v>1</v>
      </c>
      <c r="E239" s="83">
        <v>0.95</v>
      </c>
      <c r="F239" s="77" t="s">
        <v>15</v>
      </c>
      <c r="G239" s="79">
        <v>45982</v>
      </c>
      <c r="H239" s="62" cm="1">
        <f t="array" ref="H239">_xlfn.IFS(E239 = 1,$L$3,E239&gt;=0.99,$L$4, E239&gt;=0.95,$L$5, E239&gt;= 0.93, $L$6, E239&gt;= 0.9,$L$7, E239&gt;= 0.85,$L$8, E239&gt;= 0.8,$L$9, E239&gt;= 0.75,$L$10, E239 &gt;= 0.7, $L$11, E239&gt;= 0.65, $L$12, E239&gt;= 0.6, $L$13, E239&gt;= 0.55,$L$14, E239 &gt;= 0.5,$L$15)</f>
        <v>0.4838709677419355</v>
      </c>
    </row>
    <row r="240" spans="1:8" ht="24" x14ac:dyDescent="0.25">
      <c r="A240" s="78" t="s">
        <v>46</v>
      </c>
      <c r="B240" s="78" t="s">
        <v>154</v>
      </c>
      <c r="C240" s="78">
        <v>-8</v>
      </c>
      <c r="D240" s="78" t="b">
        <v>1</v>
      </c>
      <c r="E240" s="83">
        <v>0.89</v>
      </c>
      <c r="F240" s="77" t="s">
        <v>15</v>
      </c>
      <c r="G240" s="79">
        <v>45982</v>
      </c>
      <c r="H240" s="62" cm="1">
        <f t="array" ref="H240">_xlfn.IFS(E240 = 1,$L$3,E240&gt;=0.99,$L$4, E240&gt;=0.95,$L$5, E240&gt;= 0.93, $L$6, E240&gt;= 0.9,$L$7, E240&gt;= 0.85,$L$8, E240&gt;= 0.8,$L$9, E240&gt;= 0.75,$L$10, E240 &gt;= 0.7, $L$11, E240&gt;= 0.65, $L$12, E240&gt;= 0.6, $L$13, E240&gt;= 0.55,$L$14, E240 &gt;= 0.5,$L$15)</f>
        <v>0.61290322580645162</v>
      </c>
    </row>
    <row r="241" spans="1:8" ht="24" x14ac:dyDescent="0.25">
      <c r="A241" s="78" t="s">
        <v>65</v>
      </c>
      <c r="B241" s="78" t="s">
        <v>243</v>
      </c>
      <c r="C241" s="78">
        <v>-6</v>
      </c>
      <c r="D241" s="78" t="b">
        <v>1</v>
      </c>
      <c r="E241" s="83">
        <v>0.87250000000000005</v>
      </c>
      <c r="F241" s="77" t="s">
        <v>15</v>
      </c>
      <c r="G241" s="79">
        <v>45982</v>
      </c>
      <c r="H241" s="62" cm="1">
        <f t="array" ref="H241">_xlfn.IFS(E241 = 1,$L$3,E241&gt;=0.99,$L$4, E241&gt;=0.95,$L$5, E241&gt;= 0.93, $L$6, E241&gt;= 0.9,$L$7, E241&gt;= 0.85,$L$8, E241&gt;= 0.8,$L$9, E241&gt;= 0.75,$L$10, E241 &gt;= 0.7, $L$11, E241&gt;= 0.65, $L$12, E241&gt;= 0.6, $L$13, E241&gt;= 0.55,$L$14, E241 &gt;= 0.5,$L$15)</f>
        <v>0.61290322580645162</v>
      </c>
    </row>
    <row r="242" spans="1:8" ht="24" x14ac:dyDescent="0.25">
      <c r="A242" s="78" t="s">
        <v>337</v>
      </c>
      <c r="B242" s="78" t="s">
        <v>28</v>
      </c>
      <c r="C242" s="78">
        <v>-6.5</v>
      </c>
      <c r="D242" s="78" t="b">
        <v>1</v>
      </c>
      <c r="E242" s="83">
        <v>0.8</v>
      </c>
      <c r="F242" s="77" t="s">
        <v>18</v>
      </c>
      <c r="G242" s="79">
        <v>45982</v>
      </c>
      <c r="H242" s="62" cm="1">
        <f t="array" ref="H242">_xlfn.IFS(E242 = 1,$L$3,E242&gt;=0.99,$L$4, E242&gt;=0.95,$L$5, E242&gt;= 0.93, $L$6, E242&gt;= 0.9,$L$7, E242&gt;= 0.85,$L$8, E242&gt;= 0.8,$L$9, E242&gt;= 0.75,$L$10, E242 &gt;= 0.7, $L$11, E242&gt;= 0.65, $L$12, E242&gt;= 0.6, $L$13, E242&gt;= 0.55,$L$14, E242 &gt;= 0.5,$L$15)</f>
        <v>0.54166666666666663</v>
      </c>
    </row>
    <row r="243" spans="1:8" ht="24" x14ac:dyDescent="0.25">
      <c r="A243" s="78" t="s">
        <v>275</v>
      </c>
      <c r="B243" s="78" t="s">
        <v>286</v>
      </c>
      <c r="C243" s="78">
        <v>-5</v>
      </c>
      <c r="D243" s="78" t="b">
        <v>1</v>
      </c>
      <c r="E243" s="83">
        <v>0.71499999999999997</v>
      </c>
      <c r="F243" s="77" t="s">
        <v>15</v>
      </c>
      <c r="G243" s="79">
        <v>45982</v>
      </c>
      <c r="H243" s="62" cm="1">
        <f t="array" ref="H243">_xlfn.IFS(E243 = 1,$L$3,E243&gt;=0.99,$L$4, E243&gt;=0.95,$L$5, E243&gt;= 0.93, $L$6, E243&gt;= 0.9,$L$7, E243&gt;= 0.85,$L$8, E243&gt;= 0.8,$L$9, E243&gt;= 0.75,$L$10, E243 &gt;= 0.7, $L$11, E243&gt;= 0.65, $L$12, E243&gt;= 0.6, $L$13, E243&gt;= 0.55,$L$14, E243 &gt;= 0.5,$L$15)</f>
        <v>0.66666666666666663</v>
      </c>
    </row>
    <row r="244" spans="1:8" ht="24" x14ac:dyDescent="0.25">
      <c r="A244" s="78" t="s">
        <v>239</v>
      </c>
      <c r="B244" s="78" t="s">
        <v>122</v>
      </c>
      <c r="C244" s="78">
        <v>-5.5</v>
      </c>
      <c r="D244" s="78" t="b">
        <v>1</v>
      </c>
      <c r="E244" s="83">
        <v>0.68500000000000005</v>
      </c>
      <c r="F244" s="77" t="s">
        <v>18</v>
      </c>
      <c r="G244" s="79">
        <v>45982</v>
      </c>
      <c r="H244" s="62" cm="1">
        <f t="array" ref="H244">_xlfn.IFS(E244 = 1,$L$3,E244&gt;=0.99,$L$4, E244&gt;=0.95,$L$5, E244&gt;= 0.93, $L$6, E244&gt;= 0.9,$L$7, E244&gt;= 0.85,$L$8, E244&gt;= 0.8,$L$9, E244&gt;= 0.75,$L$10, E244 &gt;= 0.7, $L$11, E244&gt;= 0.65, $L$12, E244&gt;= 0.6, $L$13, E244&gt;= 0.55,$L$14, E244 &gt;= 0.5,$L$15)</f>
        <v>0.40909090909090912</v>
      </c>
    </row>
    <row r="245" spans="1:8" ht="24" x14ac:dyDescent="0.25">
      <c r="A245" s="78" t="s">
        <v>208</v>
      </c>
      <c r="B245" s="78" t="s">
        <v>356</v>
      </c>
      <c r="C245" s="78">
        <v>-1.5</v>
      </c>
      <c r="D245" s="78" t="b">
        <v>1</v>
      </c>
      <c r="E245" s="83">
        <v>0.59250000000000003</v>
      </c>
      <c r="F245" s="80" t="s">
        <v>15</v>
      </c>
      <c r="G245" s="79">
        <v>45982</v>
      </c>
      <c r="H245" s="62" cm="1">
        <f t="array" ref="H245">_xlfn.IFS(E245 = 1,$L$3,E245&gt;=0.99,$L$4, E245&gt;=0.95,$L$5, E245&gt;= 0.93, $L$6, E245&gt;= 0.9,$L$7, E245&gt;= 0.85,$L$8, E245&gt;= 0.8,$L$9, E245&gt;= 0.75,$L$10, E245 &gt;= 0.7, $L$11, E245&gt;= 0.65, $L$12, E245&gt;= 0.6, $L$13, E245&gt;= 0.55,$L$14, E245 &gt;= 0.5,$L$15)</f>
        <v>0.4375</v>
      </c>
    </row>
    <row r="246" spans="1:8" ht="24" x14ac:dyDescent="0.25">
      <c r="A246" s="78" t="s">
        <v>325</v>
      </c>
      <c r="B246" s="78" t="s">
        <v>324</v>
      </c>
      <c r="C246" s="78">
        <v>-5.5</v>
      </c>
      <c r="D246" s="78" t="b">
        <v>1</v>
      </c>
      <c r="E246" s="83">
        <v>0.56499999999999995</v>
      </c>
      <c r="F246" s="80" t="s">
        <v>15</v>
      </c>
      <c r="G246" s="79">
        <v>45982</v>
      </c>
      <c r="H246" s="62" cm="1">
        <f t="array" ref="H246">_xlfn.IFS(E246 = 1,$L$3,E246&gt;=0.99,$L$4, E246&gt;=0.95,$L$5, E246&gt;= 0.93, $L$6, E246&gt;= 0.9,$L$7, E246&gt;= 0.85,$L$8, E246&gt;= 0.8,$L$9, E246&gt;= 0.75,$L$10, E246 &gt;= 0.7, $L$11, E246&gt;= 0.65, $L$12, E246&gt;= 0.6, $L$13, E246&gt;= 0.55,$L$14, E246 &gt;= 0.5,$L$15)</f>
        <v>0.4375</v>
      </c>
    </row>
    <row r="247" spans="1:8" ht="24" x14ac:dyDescent="0.25">
      <c r="A247" t="s">
        <v>175</v>
      </c>
      <c r="B247" t="s">
        <v>205</v>
      </c>
      <c r="C247">
        <v>-18</v>
      </c>
      <c r="D247" t="b">
        <v>1</v>
      </c>
      <c r="E247" s="59">
        <v>1</v>
      </c>
      <c r="F247" s="77" t="s">
        <v>18</v>
      </c>
      <c r="G247" s="22">
        <v>45981</v>
      </c>
      <c r="H247" s="62" cm="1">
        <f t="array" ref="H247">_xlfn.IFS(E247 = 1,$L$3,E247&gt;=0.99,$L$4, E247&gt;=0.95,$L$5, E247&gt;= 0.93, $L$6, E247&gt;= 0.9,$L$7, E247&gt;= 0.85,$L$8, E247&gt;= 0.8,$L$9, E247&gt;= 0.75,$L$10, E247 &gt;= 0.7, $L$11, E247&gt;= 0.65, $L$12, E247&gt;= 0.6, $L$13, E247&gt;= 0.55,$L$14, E247 &gt;= 0.5,$L$15)</f>
        <v>0.56060606060606055</v>
      </c>
    </row>
    <row r="248" spans="1:8" ht="24" x14ac:dyDescent="0.25">
      <c r="A248" t="s">
        <v>68</v>
      </c>
      <c r="B248" t="s">
        <v>248</v>
      </c>
      <c r="C248">
        <v>-15.5</v>
      </c>
      <c r="D248" t="b">
        <v>1</v>
      </c>
      <c r="E248" s="59">
        <v>0.99750000000000005</v>
      </c>
      <c r="F248" s="77" t="s">
        <v>18</v>
      </c>
      <c r="G248" s="22">
        <v>45981</v>
      </c>
      <c r="H248" s="62" cm="1">
        <f t="array" ref="H248">_xlfn.IFS(E248 = 1,$L$3,E248&gt;=0.99,$L$4, E248&gt;=0.95,$L$5, E248&gt;= 0.93, $L$6, E248&gt;= 0.9,$L$7, E248&gt;= 0.85,$L$8, E248&gt;= 0.8,$L$9, E248&gt;= 0.75,$L$10, E248 &gt;= 0.7, $L$11, E248&gt;= 0.65, $L$12, E248&gt;= 0.6, $L$13, E248&gt;= 0.55,$L$14, E248 &gt;= 0.5,$L$15)</f>
        <v>0.484375</v>
      </c>
    </row>
    <row r="249" spans="1:8" ht="24" x14ac:dyDescent="0.25">
      <c r="A249" t="s">
        <v>188</v>
      </c>
      <c r="B249" t="s">
        <v>118</v>
      </c>
      <c r="C249">
        <v>-40.5</v>
      </c>
      <c r="D249" t="b">
        <v>1</v>
      </c>
      <c r="E249" s="59">
        <v>0.99750000000000005</v>
      </c>
      <c r="F249" s="77" t="s">
        <v>15</v>
      </c>
      <c r="G249" s="22">
        <v>45981</v>
      </c>
      <c r="H249" s="62" cm="1">
        <f t="array" ref="H249">_xlfn.IFS(E249 = 1,$L$3,E249&gt;=0.99,$L$4, E249&gt;=0.95,$L$5, E249&gt;= 0.93, $L$6, E249&gt;= 0.9,$L$7, E249&gt;= 0.85,$L$8, E249&gt;= 0.8,$L$9, E249&gt;= 0.75,$L$10, E249 &gt;= 0.7, $L$11, E249&gt;= 0.65, $L$12, E249&gt;= 0.6, $L$13, E249&gt;= 0.55,$L$14, E249 &gt;= 0.5,$L$15)</f>
        <v>0.484375</v>
      </c>
    </row>
    <row r="250" spans="1:8" ht="24" x14ac:dyDescent="0.25">
      <c r="A250" t="s">
        <v>326</v>
      </c>
      <c r="B250" t="s">
        <v>258</v>
      </c>
      <c r="C250">
        <v>-34.5</v>
      </c>
      <c r="D250" t="b">
        <v>1</v>
      </c>
      <c r="E250" s="59">
        <v>0.995</v>
      </c>
      <c r="F250" s="77" t="s">
        <v>18</v>
      </c>
      <c r="G250" s="22">
        <v>45981</v>
      </c>
      <c r="H250" s="62" cm="1">
        <f t="array" ref="H250">_xlfn.IFS(E250 = 1,$L$3,E250&gt;=0.99,$L$4, E250&gt;=0.95,$L$5, E250&gt;= 0.93, $L$6, E250&gt;= 0.9,$L$7, E250&gt;= 0.85,$L$8, E250&gt;= 0.8,$L$9, E250&gt;= 0.75,$L$10, E250 &gt;= 0.7, $L$11, E250&gt;= 0.65, $L$12, E250&gt;= 0.6, $L$13, E250&gt;= 0.55,$L$14, E250 &gt;= 0.5,$L$15)</f>
        <v>0.484375</v>
      </c>
    </row>
    <row r="251" spans="1:8" ht="24" x14ac:dyDescent="0.25">
      <c r="A251" t="s">
        <v>35</v>
      </c>
      <c r="B251" t="s">
        <v>173</v>
      </c>
      <c r="C251">
        <v>-27.5</v>
      </c>
      <c r="D251" t="b">
        <v>1</v>
      </c>
      <c r="E251" s="59">
        <v>0.995</v>
      </c>
      <c r="F251" s="77" t="s">
        <v>15</v>
      </c>
      <c r="G251" s="22">
        <v>45981</v>
      </c>
      <c r="H251" s="62" cm="1">
        <f t="array" ref="H251">_xlfn.IFS(E251 = 1,$L$3,E251&gt;=0.99,$L$4, E251&gt;=0.95,$L$5, E251&gt;= 0.93, $L$6, E251&gt;= 0.9,$L$7, E251&gt;= 0.85,$L$8, E251&gt;= 0.8,$L$9, E251&gt;= 0.75,$L$10, E251 &gt;= 0.7, $L$11, E251&gt;= 0.65, $L$12, E251&gt;= 0.6, $L$13, E251&gt;= 0.55,$L$14, E251 &gt;= 0.5,$L$15)</f>
        <v>0.484375</v>
      </c>
    </row>
    <row r="252" spans="1:8" ht="24" x14ac:dyDescent="0.25">
      <c r="A252" t="s">
        <v>70</v>
      </c>
      <c r="B252" t="s">
        <v>54</v>
      </c>
      <c r="C252">
        <v>-24.5</v>
      </c>
      <c r="D252" t="b">
        <v>1</v>
      </c>
      <c r="E252" s="59">
        <v>0.99</v>
      </c>
      <c r="F252" s="77" t="s">
        <v>18</v>
      </c>
      <c r="G252" s="22">
        <v>45981</v>
      </c>
      <c r="H252" s="62" cm="1">
        <f t="array" ref="H252">_xlfn.IFS(E252 = 1,$L$3,E252&gt;=0.99,$L$4, E252&gt;=0.95,$L$5, E252&gt;= 0.93, $L$6, E252&gt;= 0.9,$L$7, E252&gt;= 0.85,$L$8, E252&gt;= 0.8,$L$9, E252&gt;= 0.75,$L$10, E252 &gt;= 0.7, $L$11, E252&gt;= 0.65, $L$12, E252&gt;= 0.6, $L$13, E252&gt;= 0.55,$L$14, E252 &gt;= 0.5,$L$15)</f>
        <v>0.484375</v>
      </c>
    </row>
    <row r="253" spans="1:8" ht="24" x14ac:dyDescent="0.25">
      <c r="A253" t="s">
        <v>108</v>
      </c>
      <c r="B253" t="s">
        <v>203</v>
      </c>
      <c r="C253">
        <v>-13.5</v>
      </c>
      <c r="D253" t="b">
        <v>1</v>
      </c>
      <c r="E253" s="59">
        <v>0.98750000000000004</v>
      </c>
      <c r="F253" s="77" t="s">
        <v>18</v>
      </c>
      <c r="G253" s="22">
        <v>45981</v>
      </c>
      <c r="H253" s="62" cm="1">
        <f t="array" ref="H253">_xlfn.IFS(E253 = 1,$L$3,E253&gt;=0.99,$L$4, E253&gt;=0.95,$L$5, E253&gt;= 0.93, $L$6, E253&gt;= 0.9,$L$7, E253&gt;= 0.85,$L$8, E253&gt;= 0.8,$L$9, E253&gt;= 0.75,$L$10, E253 &gt;= 0.7, $L$11, E253&gt;= 0.65, $L$12, E253&gt;= 0.6, $L$13, E253&gt;= 0.55,$L$14, E253 &gt;= 0.5,$L$15)</f>
        <v>0.4838709677419355</v>
      </c>
    </row>
    <row r="254" spans="1:8" ht="24" x14ac:dyDescent="0.25">
      <c r="A254" t="s">
        <v>319</v>
      </c>
      <c r="B254" t="s">
        <v>271</v>
      </c>
      <c r="C254">
        <v>-10.5</v>
      </c>
      <c r="D254" t="b">
        <v>1</v>
      </c>
      <c r="E254" s="59">
        <v>0.92</v>
      </c>
      <c r="F254" s="77" t="s">
        <v>15</v>
      </c>
      <c r="G254" s="22">
        <v>45981</v>
      </c>
      <c r="H254" s="62" cm="1">
        <f t="array" ref="H254">_xlfn.IFS(E254 = 1,$L$3,E254&gt;=0.99,$L$4, E254&gt;=0.95,$L$5, E254&gt;= 0.93, $L$6, E254&gt;= 0.9,$L$7, E254&gt;= 0.85,$L$8, E254&gt;= 0.8,$L$9, E254&gt;= 0.75,$L$10, E254 &gt;= 0.7, $L$11, E254&gt;= 0.65, $L$12, E254&gt;= 0.6, $L$13, E254&gt;= 0.55,$L$14, E254 &gt;= 0.5,$L$15)</f>
        <v>0.55172413793103448</v>
      </c>
    </row>
    <row r="255" spans="1:8" ht="24" x14ac:dyDescent="0.25">
      <c r="A255" t="s">
        <v>91</v>
      </c>
      <c r="B255" t="s">
        <v>262</v>
      </c>
      <c r="C255">
        <v>-7.5</v>
      </c>
      <c r="D255" t="b">
        <v>1</v>
      </c>
      <c r="E255" s="59">
        <v>0.91</v>
      </c>
      <c r="F255" s="77" t="s">
        <v>15</v>
      </c>
      <c r="G255" s="22">
        <v>45981</v>
      </c>
      <c r="H255" s="62" cm="1">
        <f t="array" ref="H255">_xlfn.IFS(E255 = 1,$L$3,E255&gt;=0.99,$L$4, E255&gt;=0.95,$L$5, E255&gt;= 0.93, $L$6, E255&gt;= 0.9,$L$7, E255&gt;= 0.85,$L$8, E255&gt;= 0.8,$L$9, E255&gt;= 0.75,$L$10, E255 &gt;= 0.7, $L$11, E255&gt;= 0.65, $L$12, E255&gt;= 0.6, $L$13, E255&gt;= 0.55,$L$14, E255 &gt;= 0.5,$L$15)</f>
        <v>0.55172413793103448</v>
      </c>
    </row>
    <row r="256" spans="1:8" ht="24" x14ac:dyDescent="0.25">
      <c r="A256" t="s">
        <v>107</v>
      </c>
      <c r="B256" t="s">
        <v>99</v>
      </c>
      <c r="C256">
        <v>-5</v>
      </c>
      <c r="D256" t="b">
        <v>1</v>
      </c>
      <c r="E256" s="59">
        <v>0.79</v>
      </c>
      <c r="F256" s="77" t="s">
        <v>18</v>
      </c>
      <c r="G256" s="22">
        <v>45981</v>
      </c>
      <c r="H256" s="62" cm="1">
        <f t="array" ref="H256">_xlfn.IFS(E256 = 1,$L$3,E256&gt;=0.99,$L$4, E256&gt;=0.95,$L$5, E256&gt;= 0.93, $L$6, E256&gt;= 0.9,$L$7, E256&gt;= 0.85,$L$8, E256&gt;= 0.8,$L$9, E256&gt;= 0.75,$L$10, E256 &gt;= 0.7, $L$11, E256&gt;= 0.65, $L$12, E256&gt;= 0.6, $L$13, E256&gt;= 0.55,$L$14, E256 &gt;= 0.5,$L$15)</f>
        <v>0.42105263157894735</v>
      </c>
    </row>
    <row r="257" spans="1:8" ht="24" x14ac:dyDescent="0.25">
      <c r="A257" t="s">
        <v>96</v>
      </c>
      <c r="B257" t="s">
        <v>207</v>
      </c>
      <c r="C257">
        <v>-4.5</v>
      </c>
      <c r="D257" t="b">
        <v>1</v>
      </c>
      <c r="E257" s="59">
        <v>0.72</v>
      </c>
      <c r="F257" s="77" t="s">
        <v>15</v>
      </c>
      <c r="G257" s="22">
        <v>45981</v>
      </c>
      <c r="H257" s="62" cm="1">
        <f t="array" ref="H257">_xlfn.IFS(E257 = 1,$L$3,E257&gt;=0.99,$L$4, E257&gt;=0.95,$L$5, E257&gt;= 0.93, $L$6, E257&gt;= 0.9,$L$7, E257&gt;= 0.85,$L$8, E257&gt;= 0.8,$L$9, E257&gt;= 0.75,$L$10, E257 &gt;= 0.7, $L$11, E257&gt;= 0.65, $L$12, E257&gt;= 0.6, $L$13, E257&gt;= 0.55,$L$14, E257 &gt;= 0.5,$L$15)</f>
        <v>0.66666666666666663</v>
      </c>
    </row>
    <row r="258" spans="1:8" ht="24" x14ac:dyDescent="0.25">
      <c r="A258" t="s">
        <v>251</v>
      </c>
      <c r="B258" t="s">
        <v>55</v>
      </c>
      <c r="C258">
        <v>-2</v>
      </c>
      <c r="D258" t="b">
        <v>1</v>
      </c>
      <c r="E258" s="59">
        <v>0.64749999999999996</v>
      </c>
      <c r="F258" s="77" t="s">
        <v>15</v>
      </c>
      <c r="G258" s="22">
        <v>45981</v>
      </c>
      <c r="H258" s="62" cm="1">
        <f t="array" ref="H258">_xlfn.IFS(E258 = 1,$L$3,E258&gt;=0.99,$L$4, E258&gt;=0.95,$L$5, E258&gt;= 0.93, $L$6, E258&gt;= 0.9,$L$7, E258&gt;= 0.85,$L$8, E258&gt;= 0.8,$L$9, E258&gt;= 0.75,$L$10, E258 &gt;= 0.7, $L$11, E258&gt;= 0.65, $L$12, E258&gt;= 0.6, $L$13, E258&gt;= 0.55,$L$14, E258 &gt;= 0.5,$L$15)</f>
        <v>0.6875</v>
      </c>
    </row>
    <row r="259" spans="1:8" ht="24" x14ac:dyDescent="0.25">
      <c r="A259" t="s">
        <v>199</v>
      </c>
      <c r="B259" t="s">
        <v>157</v>
      </c>
      <c r="C259">
        <v>-2.5</v>
      </c>
      <c r="D259" t="b">
        <v>1</v>
      </c>
      <c r="E259" s="59">
        <v>0.54749999999999999</v>
      </c>
      <c r="F259" s="77" t="s">
        <v>15</v>
      </c>
      <c r="G259" s="22">
        <v>45981</v>
      </c>
      <c r="H259" s="62" cm="1">
        <f t="array" ref="H259">_xlfn.IFS(E259 = 1,$L$3,E259&gt;=0.99,$L$4, E259&gt;=0.95,$L$5, E259&gt;= 0.93, $L$6, E259&gt;= 0.9,$L$7, E259&gt;= 0.85,$L$8, E259&gt;= 0.8,$L$9, E259&gt;= 0.75,$L$10, E259 &gt;= 0.7, $L$11, E259&gt;= 0.65, $L$12, E259&gt;= 0.6, $L$13, E259&gt;= 0.55,$L$14, E259 &gt;= 0.5,$L$15)</f>
        <v>0.38461538461538464</v>
      </c>
    </row>
    <row r="260" spans="1:8" ht="24" x14ac:dyDescent="0.25">
      <c r="A260" s="69" t="s">
        <v>294</v>
      </c>
      <c r="B260" s="69" t="s">
        <v>333</v>
      </c>
      <c r="C260" s="69">
        <v>-19.5</v>
      </c>
      <c r="D260" s="69" t="b">
        <v>1</v>
      </c>
      <c r="E260" s="86">
        <v>1</v>
      </c>
      <c r="F260" s="71" t="s">
        <v>18</v>
      </c>
      <c r="G260" s="70">
        <v>45980</v>
      </c>
      <c r="H260" s="62" cm="1">
        <f t="array" ref="H260">_xlfn.IFS(E260 = 1,$L$3,E260&gt;=0.99,$L$4, E260&gt;=0.95,$L$5, E260&gt;= 0.93, $L$6, E260&gt;= 0.9,$L$7, E260&gt;= 0.85,$L$8, E260&gt;= 0.8,$L$9, E260&gt;= 0.75,$L$10, E260 &gt;= 0.7, $L$11, E260&gt;= 0.65, $L$12, E260&gt;= 0.6, $L$13, E260&gt;= 0.55,$L$14, E260 &gt;= 0.5,$L$15)</f>
        <v>0.56060606060606055</v>
      </c>
    </row>
    <row r="261" spans="1:8" ht="24" x14ac:dyDescent="0.25">
      <c r="A261" s="69" t="s">
        <v>27</v>
      </c>
      <c r="B261" s="69" t="s">
        <v>253</v>
      </c>
      <c r="C261" s="69">
        <v>-25.5</v>
      </c>
      <c r="D261" s="69" t="b">
        <v>1</v>
      </c>
      <c r="E261" s="86">
        <v>1</v>
      </c>
      <c r="F261" s="71" t="s">
        <v>18</v>
      </c>
      <c r="G261" s="70">
        <v>45980</v>
      </c>
      <c r="H261" s="62" cm="1">
        <f t="array" ref="H261">_xlfn.IFS(E261 = 1,$L$3,E261&gt;=0.99,$L$4, E261&gt;=0.95,$L$5, E261&gt;= 0.93, $L$6, E261&gt;= 0.9,$L$7, E261&gt;= 0.85,$L$8, E261&gt;= 0.8,$L$9, E261&gt;= 0.75,$L$10, E261 &gt;= 0.7, $L$11, E261&gt;= 0.65, $L$12, E261&gt;= 0.6, $L$13, E261&gt;= 0.55,$L$14, E261 &gt;= 0.5,$L$15)</f>
        <v>0.56060606060606055</v>
      </c>
    </row>
    <row r="262" spans="1:8" ht="24" x14ac:dyDescent="0.25">
      <c r="A262" s="69" t="s">
        <v>34</v>
      </c>
      <c r="B262" s="69" t="s">
        <v>214</v>
      </c>
      <c r="C262" s="69">
        <v>-24.5</v>
      </c>
      <c r="D262" s="69" t="b">
        <v>1</v>
      </c>
      <c r="E262" s="86">
        <v>1</v>
      </c>
      <c r="F262" s="71" t="s">
        <v>15</v>
      </c>
      <c r="G262" s="70">
        <v>45980</v>
      </c>
      <c r="H262" s="62" cm="1">
        <f t="array" ref="H262">_xlfn.IFS(E262 = 1,$L$3,E262&gt;=0.99,$L$4, E262&gt;=0.95,$L$5, E262&gt;= 0.93, $L$6, E262&gt;= 0.9,$L$7, E262&gt;= 0.85,$L$8, E262&gt;= 0.8,$L$9, E262&gt;= 0.75,$L$10, E262 &gt;= 0.7, $L$11, E262&gt;= 0.65, $L$12, E262&gt;= 0.6, $L$13, E262&gt;= 0.55,$L$14, E262 &gt;= 0.5,$L$15)</f>
        <v>0.56060606060606055</v>
      </c>
    </row>
    <row r="263" spans="1:8" ht="24" x14ac:dyDescent="0.25">
      <c r="A263" s="69" t="s">
        <v>25</v>
      </c>
      <c r="B263" s="69" t="s">
        <v>128</v>
      </c>
      <c r="C263" s="69">
        <v>-27.5</v>
      </c>
      <c r="D263" s="69" t="b">
        <v>1</v>
      </c>
      <c r="E263" s="86">
        <v>1</v>
      </c>
      <c r="F263" s="71" t="s">
        <v>18</v>
      </c>
      <c r="G263" s="70">
        <v>45980</v>
      </c>
      <c r="H263" s="62" cm="1">
        <f t="array" ref="H263">_xlfn.IFS(E263 = 1,$L$3,E263&gt;=0.99,$L$4, E263&gt;=0.95,$L$5, E263&gt;= 0.93, $L$6, E263&gt;= 0.9,$L$7, E263&gt;= 0.85,$L$8, E263&gt;= 0.8,$L$9, E263&gt;= 0.75,$L$10, E263 &gt;= 0.7, $L$11, E263&gt;= 0.65, $L$12, E263&gt;= 0.6, $L$13, E263&gt;= 0.55,$L$14, E263 &gt;= 0.5,$L$15)</f>
        <v>0.56060606060606055</v>
      </c>
    </row>
    <row r="264" spans="1:8" ht="24" x14ac:dyDescent="0.25">
      <c r="A264" s="69" t="s">
        <v>90</v>
      </c>
      <c r="B264" s="69" t="s">
        <v>283</v>
      </c>
      <c r="C264" s="69">
        <v>-12.5</v>
      </c>
      <c r="D264" s="69" t="b">
        <v>1</v>
      </c>
      <c r="E264" s="86">
        <v>1</v>
      </c>
      <c r="F264" s="71" t="s">
        <v>18</v>
      </c>
      <c r="G264" s="70">
        <v>45980</v>
      </c>
      <c r="H264" s="62" cm="1">
        <f t="array" ref="H264">_xlfn.IFS(E264 = 1,$L$3,E264&gt;=0.99,$L$4, E264&gt;=0.95,$L$5, E264&gt;= 0.93, $L$6, E264&gt;= 0.9,$L$7, E264&gt;= 0.85,$L$8, E264&gt;= 0.8,$L$9, E264&gt;= 0.75,$L$10, E264 &gt;= 0.7, $L$11, E264&gt;= 0.65, $L$12, E264&gt;= 0.6, $L$13, E264&gt;= 0.55,$L$14, E264 &gt;= 0.5,$L$15)</f>
        <v>0.56060606060606055</v>
      </c>
    </row>
    <row r="265" spans="1:8" ht="24" x14ac:dyDescent="0.25">
      <c r="A265" s="69" t="s">
        <v>195</v>
      </c>
      <c r="B265" s="69" t="s">
        <v>93</v>
      </c>
      <c r="C265" s="69">
        <v>-12.5</v>
      </c>
      <c r="D265" s="69" t="b">
        <v>1</v>
      </c>
      <c r="E265" s="86">
        <v>0.99750000000000005</v>
      </c>
      <c r="F265" s="71" t="s">
        <v>15</v>
      </c>
      <c r="G265" s="70">
        <v>45980</v>
      </c>
      <c r="H265" s="62" cm="1">
        <f t="array" ref="H265">_xlfn.IFS(E265 = 1,$L$3,E265&gt;=0.99,$L$4, E265&gt;=0.95,$L$5, E265&gt;= 0.93, $L$6, E265&gt;= 0.9,$L$7, E265&gt;= 0.85,$L$8, E265&gt;= 0.8,$L$9, E265&gt;= 0.75,$L$10, E265 &gt;= 0.7, $L$11, E265&gt;= 0.65, $L$12, E265&gt;= 0.6, $L$13, E265&gt;= 0.55,$L$14, E265 &gt;= 0.5,$L$15)</f>
        <v>0.484375</v>
      </c>
    </row>
    <row r="266" spans="1:8" x14ac:dyDescent="0.25">
      <c r="A266" s="69" t="s">
        <v>311</v>
      </c>
      <c r="B266" s="69" t="s">
        <v>160</v>
      </c>
      <c r="C266" s="69">
        <v>-30.5</v>
      </c>
      <c r="D266" s="69" t="b">
        <v>1</v>
      </c>
      <c r="E266" s="86">
        <v>0.995</v>
      </c>
      <c r="F266" s="71" t="s">
        <v>15</v>
      </c>
      <c r="G266" s="70">
        <v>45980</v>
      </c>
    </row>
    <row r="267" spans="1:8" x14ac:dyDescent="0.25">
      <c r="A267" s="69" t="s">
        <v>246</v>
      </c>
      <c r="B267" s="69" t="s">
        <v>57</v>
      </c>
      <c r="C267" s="69">
        <v>-13.5</v>
      </c>
      <c r="D267" s="69" t="b">
        <v>1</v>
      </c>
      <c r="E267" s="86">
        <v>0.99250000000000005</v>
      </c>
      <c r="F267" s="71" t="s">
        <v>15</v>
      </c>
      <c r="G267" s="70">
        <v>45980</v>
      </c>
    </row>
    <row r="268" spans="1:8" x14ac:dyDescent="0.25">
      <c r="A268" s="69" t="s">
        <v>95</v>
      </c>
      <c r="B268" s="69" t="s">
        <v>217</v>
      </c>
      <c r="C268" s="69">
        <v>-27</v>
      </c>
      <c r="D268" s="69" t="b">
        <v>1</v>
      </c>
      <c r="E268" s="86">
        <v>0.98499999999999999</v>
      </c>
      <c r="F268" s="71" t="s">
        <v>18</v>
      </c>
      <c r="G268" s="70">
        <v>45980</v>
      </c>
    </row>
    <row r="269" spans="1:8" x14ac:dyDescent="0.25">
      <c r="A269" s="69" t="s">
        <v>245</v>
      </c>
      <c r="B269" s="69" t="s">
        <v>358</v>
      </c>
      <c r="C269" s="69">
        <v>-19.5</v>
      </c>
      <c r="D269" s="69" t="b">
        <v>1</v>
      </c>
      <c r="E269" s="86">
        <v>0.98250000000000004</v>
      </c>
      <c r="F269" s="71" t="s">
        <v>18</v>
      </c>
      <c r="G269" s="70">
        <v>45980</v>
      </c>
    </row>
    <row r="270" spans="1:8" x14ac:dyDescent="0.25">
      <c r="A270" s="69" t="s">
        <v>58</v>
      </c>
      <c r="B270" s="69" t="s">
        <v>104</v>
      </c>
      <c r="C270" s="69">
        <v>-5.5</v>
      </c>
      <c r="D270" s="69" t="b">
        <v>1</v>
      </c>
      <c r="E270" s="86">
        <v>0.88</v>
      </c>
      <c r="F270" s="71" t="s">
        <v>18</v>
      </c>
      <c r="G270" s="70">
        <v>45980</v>
      </c>
    </row>
    <row r="271" spans="1:8" x14ac:dyDescent="0.25">
      <c r="A271" s="69" t="s">
        <v>230</v>
      </c>
      <c r="B271" s="69" t="s">
        <v>360</v>
      </c>
      <c r="C271" s="69">
        <v>-7</v>
      </c>
      <c r="D271" s="69" t="b">
        <v>1</v>
      </c>
      <c r="E271" s="86">
        <v>0.86750000000000005</v>
      </c>
      <c r="F271" s="71" t="s">
        <v>18</v>
      </c>
      <c r="G271" s="70">
        <v>45980</v>
      </c>
    </row>
    <row r="272" spans="1:8" x14ac:dyDescent="0.25">
      <c r="A272" s="69" t="s">
        <v>178</v>
      </c>
      <c r="B272" s="69" t="s">
        <v>201</v>
      </c>
      <c r="C272" s="69">
        <v>-5.5</v>
      </c>
      <c r="D272" s="69" t="b">
        <v>1</v>
      </c>
      <c r="E272" s="86">
        <v>0.85499999999999998</v>
      </c>
      <c r="F272" s="71" t="s">
        <v>18</v>
      </c>
      <c r="G272" s="70">
        <v>45980</v>
      </c>
    </row>
    <row r="273" spans="1:7" x14ac:dyDescent="0.25">
      <c r="A273" s="69" t="s">
        <v>83</v>
      </c>
      <c r="B273" s="69" t="s">
        <v>206</v>
      </c>
      <c r="C273" s="69">
        <v>-6</v>
      </c>
      <c r="D273" s="69" t="b">
        <v>1</v>
      </c>
      <c r="E273" s="86">
        <v>0.74</v>
      </c>
      <c r="F273" s="71" t="s">
        <v>18</v>
      </c>
      <c r="G273" s="70">
        <v>45980</v>
      </c>
    </row>
    <row r="274" spans="1:7" x14ac:dyDescent="0.25">
      <c r="A274" s="69" t="s">
        <v>277</v>
      </c>
      <c r="B274" s="69" t="s">
        <v>296</v>
      </c>
      <c r="C274" s="69">
        <v>-3.5</v>
      </c>
      <c r="D274" s="69" t="b">
        <v>1</v>
      </c>
      <c r="E274" s="86">
        <v>0.64500000000000002</v>
      </c>
      <c r="F274" s="71" t="s">
        <v>15</v>
      </c>
      <c r="G274" s="70">
        <v>45980</v>
      </c>
    </row>
    <row r="275" spans="1:7" x14ac:dyDescent="0.25">
      <c r="A275" s="69" t="s">
        <v>75</v>
      </c>
      <c r="B275" s="69" t="s">
        <v>317</v>
      </c>
      <c r="C275" s="69">
        <v>-3.5</v>
      </c>
      <c r="D275" s="69" t="b">
        <v>1</v>
      </c>
      <c r="E275" s="86">
        <v>0.64249999999999996</v>
      </c>
      <c r="F275" s="71" t="s">
        <v>15</v>
      </c>
      <c r="G275" s="70">
        <v>45980</v>
      </c>
    </row>
    <row r="276" spans="1:7" x14ac:dyDescent="0.25">
      <c r="A276" s="69" t="s">
        <v>357</v>
      </c>
      <c r="B276" s="69" t="s">
        <v>198</v>
      </c>
      <c r="C276" s="69">
        <v>-2.5</v>
      </c>
      <c r="D276" s="69" t="b">
        <v>1</v>
      </c>
      <c r="E276" s="86">
        <v>0.63749999999999996</v>
      </c>
      <c r="F276" s="71" t="s">
        <v>15</v>
      </c>
      <c r="G276" s="70">
        <v>45980</v>
      </c>
    </row>
    <row r="277" spans="1:7" x14ac:dyDescent="0.25">
      <c r="A277" s="69" t="s">
        <v>165</v>
      </c>
      <c r="B277" s="69" t="s">
        <v>328</v>
      </c>
      <c r="C277" s="69">
        <v>-2.5</v>
      </c>
      <c r="D277" s="69" t="b">
        <v>1</v>
      </c>
      <c r="E277" s="86">
        <v>0.6</v>
      </c>
      <c r="F277" s="71" t="s">
        <v>18</v>
      </c>
      <c r="G277" s="70">
        <v>45980</v>
      </c>
    </row>
    <row r="278" spans="1:7" x14ac:dyDescent="0.25">
      <c r="A278" s="69" t="s">
        <v>287</v>
      </c>
      <c r="B278" s="69" t="s">
        <v>150</v>
      </c>
      <c r="C278" s="69">
        <v>-1.5</v>
      </c>
      <c r="D278" s="69" t="b">
        <v>1</v>
      </c>
      <c r="E278" s="86">
        <v>0.57999999999999996</v>
      </c>
      <c r="F278" s="71" t="s">
        <v>15</v>
      </c>
      <c r="G278" s="70">
        <v>45980</v>
      </c>
    </row>
    <row r="279" spans="1:7" x14ac:dyDescent="0.25">
      <c r="A279" s="69" t="s">
        <v>338</v>
      </c>
      <c r="B279" s="69" t="s">
        <v>131</v>
      </c>
      <c r="C279" s="69">
        <v>-2.5</v>
      </c>
      <c r="D279" s="69" t="b">
        <v>0</v>
      </c>
      <c r="E279" s="86">
        <v>0.52749999999999997</v>
      </c>
      <c r="F279" s="71" t="s">
        <v>15</v>
      </c>
      <c r="G279" s="70">
        <v>45980</v>
      </c>
    </row>
    <row r="280" spans="1:7" x14ac:dyDescent="0.25">
      <c r="A280" t="s">
        <v>174</v>
      </c>
      <c r="B280" t="s">
        <v>73</v>
      </c>
      <c r="C280">
        <v>-20.5</v>
      </c>
      <c r="D280" t="b">
        <v>1</v>
      </c>
      <c r="E280" s="59">
        <v>1</v>
      </c>
      <c r="F280" t="s">
        <v>15</v>
      </c>
      <c r="G280" s="22">
        <v>45979</v>
      </c>
    </row>
    <row r="281" spans="1:7" x14ac:dyDescent="0.25">
      <c r="A281" t="s">
        <v>275</v>
      </c>
      <c r="B281" t="s">
        <v>119</v>
      </c>
      <c r="C281">
        <v>-20.5</v>
      </c>
      <c r="D281" t="b">
        <v>1</v>
      </c>
      <c r="E281" s="59">
        <v>1</v>
      </c>
      <c r="F281" t="s">
        <v>18</v>
      </c>
      <c r="G281" s="22">
        <v>45979</v>
      </c>
    </row>
    <row r="282" spans="1:7" x14ac:dyDescent="0.25">
      <c r="A282" t="s">
        <v>188</v>
      </c>
      <c r="B282" t="s">
        <v>85</v>
      </c>
      <c r="C282">
        <v>-30.5</v>
      </c>
      <c r="D282" t="b">
        <v>1</v>
      </c>
      <c r="E282" s="59">
        <v>1</v>
      </c>
      <c r="F282" t="s">
        <v>15</v>
      </c>
      <c r="G282" s="22">
        <v>45979</v>
      </c>
    </row>
    <row r="283" spans="1:7" x14ac:dyDescent="0.25">
      <c r="A283" t="s">
        <v>47</v>
      </c>
      <c r="B283" t="s">
        <v>109</v>
      </c>
      <c r="C283">
        <v>-22</v>
      </c>
      <c r="D283" t="b">
        <v>1</v>
      </c>
      <c r="E283" s="59">
        <v>1</v>
      </c>
      <c r="F283" t="s">
        <v>18</v>
      </c>
      <c r="G283" s="22">
        <v>45979</v>
      </c>
    </row>
    <row r="284" spans="1:7" x14ac:dyDescent="0.25">
      <c r="A284" t="s">
        <v>237</v>
      </c>
      <c r="B284" t="s">
        <v>50</v>
      </c>
      <c r="C284">
        <v>-20</v>
      </c>
      <c r="D284" t="b">
        <v>1</v>
      </c>
      <c r="E284" s="59">
        <v>1</v>
      </c>
      <c r="F284" t="s">
        <v>18</v>
      </c>
      <c r="G284" s="22">
        <v>45979</v>
      </c>
    </row>
    <row r="285" spans="1:7" x14ac:dyDescent="0.25">
      <c r="A285" t="s">
        <v>208</v>
      </c>
      <c r="B285" t="s">
        <v>223</v>
      </c>
      <c r="C285">
        <v>-12.5</v>
      </c>
      <c r="D285" t="b">
        <v>1</v>
      </c>
      <c r="E285" s="59">
        <v>0.99750000000000005</v>
      </c>
      <c r="F285" t="s">
        <v>18</v>
      </c>
      <c r="G285" s="22">
        <v>45979</v>
      </c>
    </row>
    <row r="286" spans="1:7" x14ac:dyDescent="0.25">
      <c r="A286" t="s">
        <v>175</v>
      </c>
      <c r="B286" t="s">
        <v>366</v>
      </c>
      <c r="C286">
        <v>-15.5</v>
      </c>
      <c r="D286" t="b">
        <v>1</v>
      </c>
      <c r="E286" s="59">
        <v>0.99750000000000005</v>
      </c>
      <c r="F286" t="s">
        <v>18</v>
      </c>
      <c r="G286" s="22">
        <v>45979</v>
      </c>
    </row>
    <row r="287" spans="1:7" x14ac:dyDescent="0.25">
      <c r="A287" t="s">
        <v>88</v>
      </c>
      <c r="B287" t="s">
        <v>110</v>
      </c>
      <c r="C287">
        <v>-20.5</v>
      </c>
      <c r="D287" t="b">
        <v>1</v>
      </c>
      <c r="E287" s="59">
        <v>0.99750000000000005</v>
      </c>
      <c r="F287" t="s">
        <v>18</v>
      </c>
      <c r="G287" s="22">
        <v>45979</v>
      </c>
    </row>
    <row r="288" spans="1:7" x14ac:dyDescent="0.25">
      <c r="A288" t="s">
        <v>367</v>
      </c>
      <c r="B288" t="s">
        <v>121</v>
      </c>
      <c r="C288">
        <v>-12</v>
      </c>
      <c r="D288" t="b">
        <v>1</v>
      </c>
      <c r="E288" s="59">
        <v>0.99750000000000005</v>
      </c>
      <c r="F288" t="s">
        <v>18</v>
      </c>
      <c r="G288" s="22">
        <v>45979</v>
      </c>
    </row>
    <row r="289" spans="1:7" x14ac:dyDescent="0.25">
      <c r="A289" t="s">
        <v>315</v>
      </c>
      <c r="B289" t="s">
        <v>260</v>
      </c>
      <c r="C289">
        <v>-30.5</v>
      </c>
      <c r="D289" t="b">
        <v>1</v>
      </c>
      <c r="E289" s="59">
        <v>0.99750000000000005</v>
      </c>
      <c r="F289" t="s">
        <v>18</v>
      </c>
      <c r="G289" s="22">
        <v>45979</v>
      </c>
    </row>
    <row r="290" spans="1:7" x14ac:dyDescent="0.25">
      <c r="A290" t="s">
        <v>72</v>
      </c>
      <c r="B290" t="s">
        <v>166</v>
      </c>
      <c r="C290">
        <v>-14.5</v>
      </c>
      <c r="D290" t="b">
        <v>1</v>
      </c>
      <c r="E290" s="59">
        <v>0.99750000000000005</v>
      </c>
      <c r="F290" t="s">
        <v>18</v>
      </c>
      <c r="G290" s="22">
        <v>45979</v>
      </c>
    </row>
    <row r="291" spans="1:7" x14ac:dyDescent="0.25">
      <c r="A291" t="s">
        <v>87</v>
      </c>
      <c r="B291" t="s">
        <v>335</v>
      </c>
      <c r="C291">
        <v>-25.5</v>
      </c>
      <c r="D291" t="b">
        <v>1</v>
      </c>
      <c r="E291" s="59">
        <v>0.99750000000000005</v>
      </c>
      <c r="F291" t="s">
        <v>18</v>
      </c>
      <c r="G291" s="22">
        <v>45979</v>
      </c>
    </row>
    <row r="292" spans="1:7" x14ac:dyDescent="0.25">
      <c r="A292" t="s">
        <v>330</v>
      </c>
      <c r="B292" t="s">
        <v>130</v>
      </c>
      <c r="C292">
        <v>-23.5</v>
      </c>
      <c r="D292" t="b">
        <v>1</v>
      </c>
      <c r="E292" s="59">
        <v>0.99750000000000005</v>
      </c>
      <c r="F292" t="s">
        <v>18</v>
      </c>
      <c r="G292" s="22">
        <v>45979</v>
      </c>
    </row>
    <row r="293" spans="1:7" x14ac:dyDescent="0.25">
      <c r="A293" t="s">
        <v>257</v>
      </c>
      <c r="B293" t="s">
        <v>163</v>
      </c>
      <c r="C293">
        <v>-27.5</v>
      </c>
      <c r="D293" t="b">
        <v>1</v>
      </c>
      <c r="E293" s="59">
        <v>0.995</v>
      </c>
      <c r="F293" t="s">
        <v>15</v>
      </c>
      <c r="G293" s="22">
        <v>45979</v>
      </c>
    </row>
    <row r="294" spans="1:7" x14ac:dyDescent="0.25">
      <c r="A294" t="s">
        <v>224</v>
      </c>
      <c r="B294" t="s">
        <v>219</v>
      </c>
      <c r="C294">
        <v>-14</v>
      </c>
      <c r="D294" t="b">
        <v>1</v>
      </c>
      <c r="E294" s="59">
        <v>0.99250000000000005</v>
      </c>
      <c r="F294" t="s">
        <v>15</v>
      </c>
      <c r="G294" s="22">
        <v>45979</v>
      </c>
    </row>
    <row r="295" spans="1:7" x14ac:dyDescent="0.25">
      <c r="A295" t="s">
        <v>193</v>
      </c>
      <c r="B295" t="s">
        <v>210</v>
      </c>
      <c r="C295">
        <v>-9.5</v>
      </c>
      <c r="D295" t="b">
        <v>1</v>
      </c>
      <c r="E295" s="59">
        <v>0.99250000000000005</v>
      </c>
      <c r="F295" t="s">
        <v>15</v>
      </c>
      <c r="G295" s="22">
        <v>45979</v>
      </c>
    </row>
    <row r="296" spans="1:7" x14ac:dyDescent="0.25">
      <c r="A296" t="s">
        <v>46</v>
      </c>
      <c r="B296" t="s">
        <v>200</v>
      </c>
      <c r="C296">
        <v>-20.5</v>
      </c>
      <c r="D296" t="b">
        <v>1</v>
      </c>
      <c r="E296" s="59">
        <v>0.99</v>
      </c>
      <c r="F296" t="s">
        <v>18</v>
      </c>
      <c r="G296" s="22">
        <v>45979</v>
      </c>
    </row>
    <row r="297" spans="1:7" x14ac:dyDescent="0.25">
      <c r="A297" t="s">
        <v>320</v>
      </c>
      <c r="B297" t="s">
        <v>51</v>
      </c>
      <c r="C297">
        <v>-18.5</v>
      </c>
      <c r="D297" t="b">
        <v>1</v>
      </c>
      <c r="E297" s="59">
        <v>0.99</v>
      </c>
      <c r="F297" t="s">
        <v>18</v>
      </c>
      <c r="G297" s="22">
        <v>45979</v>
      </c>
    </row>
    <row r="298" spans="1:7" x14ac:dyDescent="0.25">
      <c r="A298" t="s">
        <v>332</v>
      </c>
      <c r="B298" t="s">
        <v>339</v>
      </c>
      <c r="C298">
        <v>-14.5</v>
      </c>
      <c r="D298" t="b">
        <v>1</v>
      </c>
      <c r="E298" s="59">
        <v>0.98750000000000004</v>
      </c>
      <c r="F298" t="s">
        <v>15</v>
      </c>
      <c r="G298" s="22">
        <v>45979</v>
      </c>
    </row>
    <row r="299" spans="1:7" x14ac:dyDescent="0.25">
      <c r="A299" t="s">
        <v>86</v>
      </c>
      <c r="B299" t="s">
        <v>99</v>
      </c>
      <c r="C299">
        <v>-16.5</v>
      </c>
      <c r="D299" t="b">
        <v>1</v>
      </c>
      <c r="E299" s="59">
        <v>0.98750000000000004</v>
      </c>
      <c r="F299" t="s">
        <v>18</v>
      </c>
      <c r="G299" s="22">
        <v>45979</v>
      </c>
    </row>
    <row r="300" spans="1:7" x14ac:dyDescent="0.25">
      <c r="A300" t="s">
        <v>368</v>
      </c>
      <c r="B300" t="s">
        <v>321</v>
      </c>
      <c r="C300">
        <v>-10</v>
      </c>
      <c r="D300" t="b">
        <v>1</v>
      </c>
      <c r="E300" s="59">
        <v>0.98</v>
      </c>
      <c r="F300" t="s">
        <v>18</v>
      </c>
      <c r="G300" s="22">
        <v>45979</v>
      </c>
    </row>
    <row r="301" spans="1:7" x14ac:dyDescent="0.25">
      <c r="A301" t="s">
        <v>212</v>
      </c>
      <c r="B301" t="s">
        <v>43</v>
      </c>
      <c r="C301">
        <v>-10.5</v>
      </c>
      <c r="D301" t="b">
        <v>1</v>
      </c>
      <c r="E301" s="59">
        <v>0.96750000000000003</v>
      </c>
      <c r="F301" t="s">
        <v>15</v>
      </c>
      <c r="G301" s="22">
        <v>45979</v>
      </c>
    </row>
    <row r="302" spans="1:7" x14ac:dyDescent="0.25">
      <c r="A302" t="s">
        <v>337</v>
      </c>
      <c r="B302" t="s">
        <v>45</v>
      </c>
      <c r="C302">
        <v>-11.5</v>
      </c>
      <c r="D302" t="b">
        <v>1</v>
      </c>
      <c r="E302" s="59">
        <v>0.95499999999999996</v>
      </c>
      <c r="G302" s="22">
        <v>45979</v>
      </c>
    </row>
    <row r="303" spans="1:7" x14ac:dyDescent="0.25">
      <c r="A303" t="s">
        <v>259</v>
      </c>
      <c r="B303" t="s">
        <v>122</v>
      </c>
      <c r="C303">
        <v>-9.5</v>
      </c>
      <c r="D303" t="b">
        <v>1</v>
      </c>
      <c r="E303" s="59">
        <v>0.92249999999999999</v>
      </c>
      <c r="F303" t="s">
        <v>15</v>
      </c>
      <c r="G303" s="22">
        <v>45979</v>
      </c>
    </row>
    <row r="304" spans="1:7" x14ac:dyDescent="0.25">
      <c r="A304" t="s">
        <v>62</v>
      </c>
      <c r="B304" t="s">
        <v>56</v>
      </c>
      <c r="C304">
        <v>-8.5</v>
      </c>
      <c r="D304" t="b">
        <v>1</v>
      </c>
      <c r="E304" s="59">
        <v>0.91249999999999998</v>
      </c>
      <c r="F304" t="s">
        <v>18</v>
      </c>
      <c r="G304" s="22">
        <v>45979</v>
      </c>
    </row>
    <row r="305" spans="1:7" x14ac:dyDescent="0.25">
      <c r="A305" t="s">
        <v>282</v>
      </c>
      <c r="B305" t="s">
        <v>32</v>
      </c>
      <c r="C305">
        <v>-4.5</v>
      </c>
      <c r="D305" t="b">
        <v>1</v>
      </c>
      <c r="E305" s="59">
        <v>0.72499999999999998</v>
      </c>
      <c r="F305" t="s">
        <v>15</v>
      </c>
      <c r="G305" s="22">
        <v>45979</v>
      </c>
    </row>
    <row r="306" spans="1:7" x14ac:dyDescent="0.25">
      <c r="A306" t="s">
        <v>325</v>
      </c>
      <c r="B306" t="s">
        <v>29</v>
      </c>
      <c r="C306">
        <v>-3.5</v>
      </c>
      <c r="D306" t="b">
        <v>1</v>
      </c>
      <c r="E306" s="59">
        <v>0.66249999999999998</v>
      </c>
      <c r="F306" t="s">
        <v>15</v>
      </c>
      <c r="G306" s="22">
        <v>45979</v>
      </c>
    </row>
    <row r="307" spans="1:7" x14ac:dyDescent="0.25">
      <c r="A307" t="s">
        <v>65</v>
      </c>
      <c r="B307" t="s">
        <v>96</v>
      </c>
      <c r="C307">
        <v>-3.5</v>
      </c>
      <c r="D307" t="b">
        <v>1</v>
      </c>
      <c r="E307" s="59">
        <v>0.60750000000000004</v>
      </c>
      <c r="F307" t="s">
        <v>15</v>
      </c>
      <c r="G307" s="22">
        <v>45979</v>
      </c>
    </row>
    <row r="308" spans="1:7" x14ac:dyDescent="0.25">
      <c r="A308" t="s">
        <v>228</v>
      </c>
      <c r="B308" t="s">
        <v>161</v>
      </c>
      <c r="C308">
        <v>-1.5</v>
      </c>
      <c r="D308" t="b">
        <v>1</v>
      </c>
      <c r="E308" s="59">
        <v>0.55500000000000005</v>
      </c>
      <c r="F308" t="s">
        <v>18</v>
      </c>
      <c r="G308" s="22">
        <v>45979</v>
      </c>
    </row>
    <row r="309" spans="1:7" x14ac:dyDescent="0.25">
      <c r="A309" t="s">
        <v>55</v>
      </c>
      <c r="B309" t="s">
        <v>190</v>
      </c>
      <c r="C309">
        <v>-3.5</v>
      </c>
      <c r="D309" t="b">
        <v>1</v>
      </c>
      <c r="E309" s="59">
        <v>0.52749999999999997</v>
      </c>
      <c r="F309" t="s">
        <v>15</v>
      </c>
      <c r="G309" s="22">
        <v>45979</v>
      </c>
    </row>
    <row r="310" spans="1:7" x14ac:dyDescent="0.25">
      <c r="A310" t="s">
        <v>336</v>
      </c>
      <c r="B310" t="s">
        <v>112</v>
      </c>
      <c r="C310">
        <v>-38</v>
      </c>
      <c r="D310" t="b">
        <v>1</v>
      </c>
      <c r="E310" s="59">
        <v>1</v>
      </c>
      <c r="F310" t="s">
        <v>18</v>
      </c>
      <c r="G310" s="22">
        <v>45978</v>
      </c>
    </row>
    <row r="311" spans="1:7" x14ac:dyDescent="0.25">
      <c r="A311" t="s">
        <v>106</v>
      </c>
      <c r="B311" t="s">
        <v>215</v>
      </c>
      <c r="C311">
        <v>-24</v>
      </c>
      <c r="D311" t="b">
        <v>1</v>
      </c>
      <c r="E311" s="59">
        <v>1</v>
      </c>
      <c r="F311" t="s">
        <v>18</v>
      </c>
      <c r="G311" s="22">
        <v>45978</v>
      </c>
    </row>
    <row r="312" spans="1:7" x14ac:dyDescent="0.25">
      <c r="A312" t="s">
        <v>182</v>
      </c>
      <c r="B312" t="s">
        <v>23</v>
      </c>
      <c r="C312">
        <v>-25</v>
      </c>
      <c r="D312" t="b">
        <v>1</v>
      </c>
      <c r="E312" s="59">
        <v>1</v>
      </c>
      <c r="F312" t="s">
        <v>15</v>
      </c>
      <c r="G312" s="22">
        <v>45978</v>
      </c>
    </row>
    <row r="313" spans="1:7" x14ac:dyDescent="0.25">
      <c r="A313" t="s">
        <v>14</v>
      </c>
      <c r="B313" t="s">
        <v>288</v>
      </c>
      <c r="C313">
        <v>-16.5</v>
      </c>
      <c r="D313" t="b">
        <v>1</v>
      </c>
      <c r="E313" s="59">
        <v>1</v>
      </c>
      <c r="F313" t="s">
        <v>15</v>
      </c>
      <c r="G313" s="22">
        <v>45978</v>
      </c>
    </row>
    <row r="314" spans="1:7" x14ac:dyDescent="0.25">
      <c r="A314" t="s">
        <v>69</v>
      </c>
      <c r="B314" t="s">
        <v>362</v>
      </c>
      <c r="C314">
        <v>-36.5</v>
      </c>
      <c r="D314" t="b">
        <v>1</v>
      </c>
      <c r="E314" s="59">
        <v>1</v>
      </c>
      <c r="F314" t="s">
        <v>15</v>
      </c>
      <c r="G314" s="22">
        <v>45978</v>
      </c>
    </row>
    <row r="315" spans="1:7" x14ac:dyDescent="0.25">
      <c r="A315" t="s">
        <v>63</v>
      </c>
      <c r="B315" t="s">
        <v>77</v>
      </c>
      <c r="C315">
        <v>-26.5</v>
      </c>
      <c r="D315" t="b">
        <v>1</v>
      </c>
      <c r="E315" s="59">
        <v>1</v>
      </c>
      <c r="F315" t="s">
        <v>18</v>
      </c>
      <c r="G315" s="22">
        <v>45978</v>
      </c>
    </row>
    <row r="316" spans="1:7" x14ac:dyDescent="0.25">
      <c r="A316" t="s">
        <v>331</v>
      </c>
      <c r="B316" t="s">
        <v>363</v>
      </c>
      <c r="C316">
        <v>-17.5</v>
      </c>
      <c r="D316" t="b">
        <v>1</v>
      </c>
      <c r="E316" s="59">
        <v>1</v>
      </c>
      <c r="F316" t="s">
        <v>18</v>
      </c>
      <c r="G316" s="22">
        <v>45978</v>
      </c>
    </row>
    <row r="317" spans="1:7" x14ac:dyDescent="0.25">
      <c r="A317" t="s">
        <v>364</v>
      </c>
      <c r="B317" t="s">
        <v>192</v>
      </c>
      <c r="C317">
        <v>-13.5</v>
      </c>
      <c r="D317" t="b">
        <v>1</v>
      </c>
      <c r="E317" s="59">
        <v>1</v>
      </c>
      <c r="F317" t="s">
        <v>18</v>
      </c>
      <c r="G317" s="22">
        <v>45978</v>
      </c>
    </row>
    <row r="318" spans="1:7" x14ac:dyDescent="0.25">
      <c r="A318" t="s">
        <v>34</v>
      </c>
      <c r="B318" t="s">
        <v>85</v>
      </c>
      <c r="C318">
        <v>-31.5</v>
      </c>
      <c r="D318" t="b">
        <v>1</v>
      </c>
      <c r="E318" s="59">
        <v>1</v>
      </c>
      <c r="F318" t="s">
        <v>18</v>
      </c>
      <c r="G318" s="22">
        <v>45976</v>
      </c>
    </row>
    <row r="319" spans="1:7" x14ac:dyDescent="0.25">
      <c r="A319" t="s">
        <v>55</v>
      </c>
      <c r="B319" t="s">
        <v>126</v>
      </c>
      <c r="C319">
        <v>-23.5</v>
      </c>
      <c r="D319" t="b">
        <v>1</v>
      </c>
      <c r="E319" s="59">
        <v>1</v>
      </c>
      <c r="F319" t="s">
        <v>18</v>
      </c>
      <c r="G319" s="22">
        <v>45976</v>
      </c>
    </row>
    <row r="320" spans="1:7" x14ac:dyDescent="0.25">
      <c r="A320" t="s">
        <v>213</v>
      </c>
      <c r="B320" t="s">
        <v>221</v>
      </c>
      <c r="C320">
        <v>-21.5</v>
      </c>
      <c r="D320" t="b">
        <v>1</v>
      </c>
      <c r="E320" s="59">
        <v>0.99750000000000005</v>
      </c>
      <c r="F320" t="s">
        <v>15</v>
      </c>
      <c r="G320" s="22">
        <v>45976</v>
      </c>
    </row>
    <row r="321" spans="1:7" x14ac:dyDescent="0.25">
      <c r="A321" t="s">
        <v>207</v>
      </c>
      <c r="B321" t="s">
        <v>56</v>
      </c>
      <c r="C321">
        <v>-21</v>
      </c>
      <c r="D321" t="b">
        <v>1</v>
      </c>
      <c r="E321" s="59">
        <v>0.99750000000000005</v>
      </c>
      <c r="F321" t="s">
        <v>18</v>
      </c>
      <c r="G321" s="22">
        <v>45976</v>
      </c>
    </row>
    <row r="322" spans="1:7" x14ac:dyDescent="0.25">
      <c r="A322" t="s">
        <v>235</v>
      </c>
      <c r="B322" t="s">
        <v>59</v>
      </c>
      <c r="C322">
        <v>-28</v>
      </c>
      <c r="D322" t="b">
        <v>1</v>
      </c>
      <c r="E322" s="59">
        <v>0.99250000000000005</v>
      </c>
      <c r="F322" t="s">
        <v>18</v>
      </c>
      <c r="G322" s="22">
        <v>45976</v>
      </c>
    </row>
    <row r="323" spans="1:7" x14ac:dyDescent="0.25">
      <c r="A323" t="s">
        <v>285</v>
      </c>
      <c r="B323" t="s">
        <v>321</v>
      </c>
      <c r="C323">
        <v>-15.5</v>
      </c>
      <c r="D323" t="b">
        <v>1</v>
      </c>
      <c r="E323" s="59">
        <v>0.99250000000000005</v>
      </c>
      <c r="F323" t="s">
        <v>18</v>
      </c>
      <c r="G323" s="22">
        <v>45976</v>
      </c>
    </row>
    <row r="324" spans="1:7" x14ac:dyDescent="0.25">
      <c r="A324" t="s">
        <v>276</v>
      </c>
      <c r="B324" t="s">
        <v>352</v>
      </c>
      <c r="C324">
        <v>-17.5</v>
      </c>
      <c r="D324" t="b">
        <v>1</v>
      </c>
      <c r="E324" s="59">
        <v>0.99250000000000005</v>
      </c>
      <c r="F324" t="s">
        <v>15</v>
      </c>
      <c r="G324" s="22">
        <v>45976</v>
      </c>
    </row>
    <row r="325" spans="1:7" x14ac:dyDescent="0.25">
      <c r="A325" t="s">
        <v>257</v>
      </c>
      <c r="B325" t="s">
        <v>219</v>
      </c>
      <c r="C325">
        <v>-22.5</v>
      </c>
      <c r="D325" t="b">
        <v>1</v>
      </c>
      <c r="E325" s="59">
        <v>0.98750000000000004</v>
      </c>
      <c r="F325" t="s">
        <v>15</v>
      </c>
      <c r="G325" s="22">
        <v>45976</v>
      </c>
    </row>
    <row r="326" spans="1:7" x14ac:dyDescent="0.25">
      <c r="A326" t="s">
        <v>249</v>
      </c>
      <c r="B326" t="s">
        <v>244</v>
      </c>
      <c r="C326">
        <v>-32</v>
      </c>
      <c r="D326" t="b">
        <v>1</v>
      </c>
      <c r="E326" s="59">
        <v>0.98750000000000004</v>
      </c>
      <c r="F326" t="s">
        <v>18</v>
      </c>
      <c r="G326" s="22">
        <v>45976</v>
      </c>
    </row>
    <row r="327" spans="1:7" x14ac:dyDescent="0.25">
      <c r="A327" t="s">
        <v>353</v>
      </c>
      <c r="B327" t="s">
        <v>339</v>
      </c>
      <c r="C327">
        <v>-14.5</v>
      </c>
      <c r="D327" t="b">
        <v>1</v>
      </c>
      <c r="E327" s="59">
        <v>0.98499999999999999</v>
      </c>
      <c r="F327" t="s">
        <v>15</v>
      </c>
      <c r="G327" s="22">
        <v>45976</v>
      </c>
    </row>
    <row r="328" spans="1:7" x14ac:dyDescent="0.25">
      <c r="A328" t="s">
        <v>234</v>
      </c>
      <c r="B328" t="s">
        <v>150</v>
      </c>
      <c r="C328">
        <v>-10.5</v>
      </c>
      <c r="D328" t="b">
        <v>1</v>
      </c>
      <c r="E328" s="59">
        <v>0.97750000000000004</v>
      </c>
      <c r="F328" t="s">
        <v>18</v>
      </c>
      <c r="G328" s="22">
        <v>45976</v>
      </c>
    </row>
    <row r="329" spans="1:7" x14ac:dyDescent="0.25">
      <c r="A329" t="s">
        <v>102</v>
      </c>
      <c r="B329" t="s">
        <v>132</v>
      </c>
      <c r="C329">
        <v>-9.5</v>
      </c>
      <c r="D329" t="b">
        <v>1</v>
      </c>
      <c r="E329" s="59">
        <v>0.96250000000000002</v>
      </c>
      <c r="F329" t="s">
        <v>15</v>
      </c>
      <c r="G329" s="22">
        <v>45976</v>
      </c>
    </row>
    <row r="330" spans="1:7" x14ac:dyDescent="0.25">
      <c r="A330" t="s">
        <v>311</v>
      </c>
      <c r="B330" t="s">
        <v>277</v>
      </c>
      <c r="C330">
        <v>-8.5</v>
      </c>
      <c r="D330" t="b">
        <v>1</v>
      </c>
      <c r="E330" s="59">
        <v>0.95499999999999996</v>
      </c>
      <c r="F330" t="s">
        <v>15</v>
      </c>
      <c r="G330" s="22">
        <v>45976</v>
      </c>
    </row>
    <row r="331" spans="1:7" x14ac:dyDescent="0.25">
      <c r="A331" t="s">
        <v>317</v>
      </c>
      <c r="B331" t="s">
        <v>357</v>
      </c>
      <c r="C331">
        <v>-8.5</v>
      </c>
      <c r="D331" t="b">
        <v>1</v>
      </c>
      <c r="E331" s="59">
        <v>0.95499999999999996</v>
      </c>
      <c r="F331" t="s">
        <v>15</v>
      </c>
      <c r="G331" s="22">
        <v>45976</v>
      </c>
    </row>
    <row r="332" spans="1:7" x14ac:dyDescent="0.25">
      <c r="A332" t="s">
        <v>358</v>
      </c>
      <c r="B332" t="s">
        <v>30</v>
      </c>
      <c r="C332">
        <v>-8.5</v>
      </c>
      <c r="D332" t="b">
        <v>1</v>
      </c>
      <c r="E332" s="59">
        <v>0.94499999999999995</v>
      </c>
      <c r="F332" t="s">
        <v>15</v>
      </c>
      <c r="G332" s="22">
        <v>45976</v>
      </c>
    </row>
    <row r="333" spans="1:7" x14ac:dyDescent="0.25">
      <c r="A333" t="s">
        <v>114</v>
      </c>
      <c r="B333" t="s">
        <v>22</v>
      </c>
      <c r="C333">
        <v>-13.5</v>
      </c>
      <c r="D333" t="b">
        <v>1</v>
      </c>
      <c r="E333" s="59">
        <v>0.9425</v>
      </c>
      <c r="F333" t="s">
        <v>18</v>
      </c>
      <c r="G333" s="22">
        <v>45976</v>
      </c>
    </row>
    <row r="334" spans="1:7" x14ac:dyDescent="0.25">
      <c r="A334" t="s">
        <v>121</v>
      </c>
      <c r="B334" t="s">
        <v>92</v>
      </c>
      <c r="C334">
        <v>-7.5</v>
      </c>
      <c r="D334" t="b">
        <v>1</v>
      </c>
      <c r="E334" s="59">
        <v>0.9375</v>
      </c>
      <c r="F334" t="s">
        <v>15</v>
      </c>
      <c r="G334" s="22">
        <v>45976</v>
      </c>
    </row>
    <row r="335" spans="1:7" x14ac:dyDescent="0.25">
      <c r="A335" t="s">
        <v>229</v>
      </c>
      <c r="B335" t="s">
        <v>327</v>
      </c>
      <c r="C335">
        <v>-8</v>
      </c>
      <c r="D335" t="b">
        <v>1</v>
      </c>
      <c r="E335" s="59">
        <v>0.92249999999999999</v>
      </c>
      <c r="F335" t="s">
        <v>15</v>
      </c>
      <c r="G335" s="22">
        <v>45976</v>
      </c>
    </row>
    <row r="336" spans="1:7" x14ac:dyDescent="0.25">
      <c r="A336" t="s">
        <v>79</v>
      </c>
      <c r="B336" t="s">
        <v>256</v>
      </c>
      <c r="C336">
        <v>-8.5</v>
      </c>
      <c r="D336" t="b">
        <v>1</v>
      </c>
      <c r="E336" s="59">
        <v>0.91749999999999998</v>
      </c>
      <c r="F336" t="s">
        <v>18</v>
      </c>
      <c r="G336" s="22">
        <v>45976</v>
      </c>
    </row>
    <row r="337" spans="1:7" x14ac:dyDescent="0.25">
      <c r="A337" t="s">
        <v>25</v>
      </c>
      <c r="B337" t="s">
        <v>337</v>
      </c>
      <c r="C337">
        <v>-5.5</v>
      </c>
      <c r="D337" t="b">
        <v>1</v>
      </c>
      <c r="E337" s="59">
        <v>0.88</v>
      </c>
      <c r="F337" t="s">
        <v>18</v>
      </c>
      <c r="G337" s="22">
        <v>45976</v>
      </c>
    </row>
    <row r="338" spans="1:7" x14ac:dyDescent="0.25">
      <c r="A338" t="s">
        <v>57</v>
      </c>
      <c r="B338" t="s">
        <v>129</v>
      </c>
      <c r="C338">
        <v>-10.5</v>
      </c>
      <c r="D338" t="b">
        <v>1</v>
      </c>
      <c r="E338" s="59">
        <v>0.875</v>
      </c>
      <c r="F338" t="s">
        <v>18</v>
      </c>
      <c r="G338" s="22">
        <v>45976</v>
      </c>
    </row>
    <row r="339" spans="1:7" x14ac:dyDescent="0.25">
      <c r="A339" t="s">
        <v>359</v>
      </c>
      <c r="B339" t="s">
        <v>68</v>
      </c>
      <c r="C339">
        <v>-6.5</v>
      </c>
      <c r="D339" t="b">
        <v>1</v>
      </c>
      <c r="E339" s="59">
        <v>0.85</v>
      </c>
      <c r="F339" t="s">
        <v>15</v>
      </c>
      <c r="G339" s="22">
        <v>45976</v>
      </c>
    </row>
    <row r="340" spans="1:7" x14ac:dyDescent="0.25">
      <c r="A340" t="s">
        <v>36</v>
      </c>
      <c r="B340" t="s">
        <v>104</v>
      </c>
      <c r="C340">
        <v>-7</v>
      </c>
      <c r="D340" t="b">
        <v>1</v>
      </c>
      <c r="E340" s="59">
        <v>0.80500000000000005</v>
      </c>
      <c r="F340" t="s">
        <v>18</v>
      </c>
      <c r="G340" s="22">
        <v>45976</v>
      </c>
    </row>
    <row r="341" spans="1:7" x14ac:dyDescent="0.25">
      <c r="A341" t="s">
        <v>360</v>
      </c>
      <c r="B341" t="s">
        <v>216</v>
      </c>
      <c r="C341">
        <v>-5</v>
      </c>
      <c r="D341" t="b">
        <v>1</v>
      </c>
      <c r="E341" s="59">
        <v>0.79</v>
      </c>
      <c r="F341" t="s">
        <v>18</v>
      </c>
      <c r="G341" s="22">
        <v>45976</v>
      </c>
    </row>
    <row r="342" spans="1:7" x14ac:dyDescent="0.25">
      <c r="A342" t="s">
        <v>223</v>
      </c>
      <c r="B342" t="s">
        <v>201</v>
      </c>
      <c r="C342">
        <v>-2.5</v>
      </c>
      <c r="D342" t="b">
        <v>1</v>
      </c>
      <c r="E342" s="59">
        <v>0.78249999999999997</v>
      </c>
      <c r="F342" t="s">
        <v>18</v>
      </c>
      <c r="G342" s="22">
        <v>45976</v>
      </c>
    </row>
    <row r="343" spans="1:7" x14ac:dyDescent="0.25">
      <c r="A343" t="s">
        <v>224</v>
      </c>
      <c r="B343" t="s">
        <v>195</v>
      </c>
      <c r="C343">
        <v>-2.5</v>
      </c>
      <c r="D343" t="b">
        <v>1</v>
      </c>
      <c r="E343" s="59">
        <v>0.69499999999999995</v>
      </c>
      <c r="F343" t="s">
        <v>18</v>
      </c>
      <c r="G343" s="22">
        <v>45976</v>
      </c>
    </row>
    <row r="344" spans="1:7" x14ac:dyDescent="0.25">
      <c r="A344" t="s">
        <v>243</v>
      </c>
      <c r="B344" t="s">
        <v>179</v>
      </c>
      <c r="C344">
        <v>-4.5</v>
      </c>
      <c r="D344" t="b">
        <v>1</v>
      </c>
      <c r="E344" s="59">
        <v>0.6925</v>
      </c>
      <c r="F344" t="s">
        <v>15</v>
      </c>
      <c r="G344" s="22">
        <v>45976</v>
      </c>
    </row>
    <row r="345" spans="1:7" x14ac:dyDescent="0.25">
      <c r="A345" t="s">
        <v>361</v>
      </c>
      <c r="B345" t="s">
        <v>228</v>
      </c>
      <c r="C345">
        <v>-3.5</v>
      </c>
      <c r="D345" t="b">
        <v>1</v>
      </c>
      <c r="E345" s="59">
        <v>0.67</v>
      </c>
      <c r="F345" t="s">
        <v>15</v>
      </c>
      <c r="G345" s="22">
        <v>45976</v>
      </c>
    </row>
    <row r="346" spans="1:7" x14ac:dyDescent="0.25">
      <c r="A346" t="s">
        <v>279</v>
      </c>
      <c r="B346" t="s">
        <v>330</v>
      </c>
      <c r="C346">
        <v>-1.5</v>
      </c>
      <c r="D346" t="b">
        <v>0</v>
      </c>
      <c r="E346" s="59">
        <v>0.5625</v>
      </c>
      <c r="F346" t="s">
        <v>15</v>
      </c>
      <c r="G346" s="22">
        <v>45976</v>
      </c>
    </row>
    <row r="347" spans="1:7" x14ac:dyDescent="0.25">
      <c r="A347" t="s">
        <v>255</v>
      </c>
      <c r="B347" t="s">
        <v>24</v>
      </c>
      <c r="C347">
        <v>-2.5</v>
      </c>
      <c r="D347" t="b">
        <v>0</v>
      </c>
      <c r="E347" s="59">
        <v>0.5625</v>
      </c>
      <c r="F347" t="s">
        <v>18</v>
      </c>
      <c r="G347" s="22">
        <v>45976</v>
      </c>
    </row>
    <row r="348" spans="1:7" x14ac:dyDescent="0.25">
      <c r="A348" t="s">
        <v>49</v>
      </c>
      <c r="B348" t="s">
        <v>237</v>
      </c>
      <c r="C348">
        <v>-2.5</v>
      </c>
      <c r="D348" t="b">
        <v>1</v>
      </c>
      <c r="E348" s="59">
        <v>0.5575</v>
      </c>
      <c r="F348" t="s">
        <v>15</v>
      </c>
      <c r="G348" s="22">
        <v>45976</v>
      </c>
    </row>
    <row r="349" spans="1:7" x14ac:dyDescent="0.25">
      <c r="A349" t="s">
        <v>82</v>
      </c>
      <c r="B349" t="s">
        <v>251</v>
      </c>
      <c r="C349">
        <v>-1.5</v>
      </c>
      <c r="D349" t="b">
        <v>1</v>
      </c>
      <c r="E349" s="59">
        <v>0.54749999999999999</v>
      </c>
      <c r="F349" t="s">
        <v>18</v>
      </c>
      <c r="G349" s="22">
        <v>45976</v>
      </c>
    </row>
    <row r="350" spans="1:7" x14ac:dyDescent="0.25">
      <c r="A350" t="s">
        <v>233</v>
      </c>
      <c r="B350" t="s">
        <v>117</v>
      </c>
      <c r="C350">
        <v>-28.5</v>
      </c>
      <c r="D350" t="b">
        <v>1</v>
      </c>
      <c r="E350" s="59">
        <v>1</v>
      </c>
      <c r="F350" t="s">
        <v>18</v>
      </c>
      <c r="G350" s="22">
        <v>45975</v>
      </c>
    </row>
    <row r="351" spans="1:7" x14ac:dyDescent="0.25">
      <c r="A351" t="s">
        <v>13</v>
      </c>
      <c r="B351" t="s">
        <v>166</v>
      </c>
      <c r="C351">
        <v>-17.5</v>
      </c>
      <c r="D351" t="b">
        <v>1</v>
      </c>
      <c r="E351" s="59">
        <v>0.99750000000000005</v>
      </c>
      <c r="F351" t="s">
        <v>18</v>
      </c>
      <c r="G351" s="22">
        <v>45975</v>
      </c>
    </row>
    <row r="352" spans="1:7" x14ac:dyDescent="0.25">
      <c r="A352" t="s">
        <v>159</v>
      </c>
      <c r="B352" t="s">
        <v>50</v>
      </c>
      <c r="C352">
        <v>-25.5</v>
      </c>
      <c r="D352" t="b">
        <v>1</v>
      </c>
      <c r="E352" s="59">
        <v>0.99750000000000005</v>
      </c>
      <c r="F352" t="s">
        <v>18</v>
      </c>
      <c r="G352" s="22">
        <v>45975</v>
      </c>
    </row>
    <row r="353" spans="1:7" x14ac:dyDescent="0.25">
      <c r="A353" t="s">
        <v>107</v>
      </c>
      <c r="B353" t="s">
        <v>134</v>
      </c>
      <c r="C353">
        <v>-29.5</v>
      </c>
      <c r="D353" t="b">
        <v>1</v>
      </c>
      <c r="E353" s="59">
        <v>0.99750000000000005</v>
      </c>
      <c r="F353" t="s">
        <v>18</v>
      </c>
      <c r="G353" s="22">
        <v>45975</v>
      </c>
    </row>
    <row r="354" spans="1:7" x14ac:dyDescent="0.25">
      <c r="A354" t="s">
        <v>322</v>
      </c>
      <c r="B354" t="s">
        <v>62</v>
      </c>
      <c r="C354">
        <v>-14</v>
      </c>
      <c r="D354" t="b">
        <v>1</v>
      </c>
      <c r="E354" s="59">
        <v>0.995</v>
      </c>
      <c r="F354" t="s">
        <v>15</v>
      </c>
      <c r="G354" s="22">
        <v>45975</v>
      </c>
    </row>
    <row r="355" spans="1:7" x14ac:dyDescent="0.25">
      <c r="A355" t="s">
        <v>325</v>
      </c>
      <c r="B355" t="s">
        <v>64</v>
      </c>
      <c r="C355">
        <v>-11.5</v>
      </c>
      <c r="D355" t="b">
        <v>1</v>
      </c>
      <c r="E355" s="59">
        <v>0.995</v>
      </c>
      <c r="F355" t="s">
        <v>18</v>
      </c>
      <c r="G355" s="22">
        <v>45975</v>
      </c>
    </row>
    <row r="356" spans="1:7" x14ac:dyDescent="0.25">
      <c r="A356" t="s">
        <v>174</v>
      </c>
      <c r="B356" t="s">
        <v>355</v>
      </c>
      <c r="C356">
        <v>-12.5</v>
      </c>
      <c r="D356" t="b">
        <v>1</v>
      </c>
      <c r="E356" s="59">
        <v>0.99</v>
      </c>
      <c r="F356" t="s">
        <v>15</v>
      </c>
      <c r="G356" s="22">
        <v>45975</v>
      </c>
    </row>
    <row r="357" spans="1:7" x14ac:dyDescent="0.25">
      <c r="A357" t="s">
        <v>296</v>
      </c>
      <c r="B357" t="s">
        <v>74</v>
      </c>
      <c r="C357">
        <v>-37</v>
      </c>
      <c r="D357" t="b">
        <v>1</v>
      </c>
      <c r="E357" s="59">
        <v>0.98750000000000004</v>
      </c>
      <c r="F357" t="s">
        <v>15</v>
      </c>
      <c r="G357" s="22">
        <v>45975</v>
      </c>
    </row>
    <row r="358" spans="1:7" x14ac:dyDescent="0.25">
      <c r="A358" t="s">
        <v>356</v>
      </c>
      <c r="B358" t="s">
        <v>33</v>
      </c>
      <c r="C358">
        <v>-9.5</v>
      </c>
      <c r="D358" t="b">
        <v>1</v>
      </c>
      <c r="E358" s="59">
        <v>0.96750000000000003</v>
      </c>
      <c r="F358" t="s">
        <v>15</v>
      </c>
      <c r="G358" s="22">
        <v>45975</v>
      </c>
    </row>
    <row r="359" spans="1:7" x14ac:dyDescent="0.25">
      <c r="A359" t="s">
        <v>43</v>
      </c>
      <c r="B359" t="s">
        <v>191</v>
      </c>
      <c r="C359">
        <v>-15</v>
      </c>
      <c r="D359" t="b">
        <v>1</v>
      </c>
      <c r="E359" s="59">
        <v>0.96750000000000003</v>
      </c>
      <c r="F359" t="s">
        <v>18</v>
      </c>
      <c r="G359" s="22">
        <v>45975</v>
      </c>
    </row>
    <row r="360" spans="1:7" x14ac:dyDescent="0.25">
      <c r="A360" t="s">
        <v>211</v>
      </c>
      <c r="B360" t="s">
        <v>112</v>
      </c>
      <c r="C360">
        <v>-14.5</v>
      </c>
      <c r="D360" t="b">
        <v>1</v>
      </c>
      <c r="E360" s="59">
        <v>0.92749999999999999</v>
      </c>
      <c r="F360" t="s">
        <v>18</v>
      </c>
      <c r="G360" s="22">
        <v>45975</v>
      </c>
    </row>
    <row r="361" spans="1:7" x14ac:dyDescent="0.25">
      <c r="A361" t="s">
        <v>204</v>
      </c>
      <c r="B361" t="s">
        <v>51</v>
      </c>
      <c r="C361">
        <v>-11.5</v>
      </c>
      <c r="D361" t="b">
        <v>1</v>
      </c>
      <c r="E361" s="59">
        <v>0.91249999999999998</v>
      </c>
      <c r="F361" t="s">
        <v>18</v>
      </c>
      <c r="G361" s="22">
        <v>45975</v>
      </c>
    </row>
    <row r="362" spans="1:7" x14ac:dyDescent="0.25">
      <c r="A362" t="s">
        <v>69</v>
      </c>
      <c r="B362" t="s">
        <v>187</v>
      </c>
      <c r="C362">
        <v>-7.5</v>
      </c>
      <c r="D362" t="b">
        <v>1</v>
      </c>
      <c r="E362" s="59">
        <v>0.87</v>
      </c>
      <c r="F362" t="s">
        <v>18</v>
      </c>
      <c r="G362" s="22">
        <v>45975</v>
      </c>
    </row>
    <row r="363" spans="1:7" x14ac:dyDescent="0.25">
      <c r="A363" t="s">
        <v>108</v>
      </c>
      <c r="B363" t="s">
        <v>320</v>
      </c>
      <c r="C363">
        <v>-5.5</v>
      </c>
      <c r="D363" t="b">
        <v>1</v>
      </c>
      <c r="E363" s="59">
        <v>0.79249999999999998</v>
      </c>
      <c r="F363" t="s">
        <v>15</v>
      </c>
      <c r="G363" s="22">
        <v>45975</v>
      </c>
    </row>
    <row r="364" spans="1:7" x14ac:dyDescent="0.25">
      <c r="A364" t="s">
        <v>157</v>
      </c>
      <c r="B364" t="s">
        <v>190</v>
      </c>
      <c r="C364">
        <v>-5.5</v>
      </c>
      <c r="D364" t="b">
        <v>1</v>
      </c>
      <c r="E364" s="59">
        <v>0.77249999999999996</v>
      </c>
      <c r="F364" t="s">
        <v>18</v>
      </c>
      <c r="G364" s="22">
        <v>45975</v>
      </c>
    </row>
    <row r="365" spans="1:7" x14ac:dyDescent="0.25">
      <c r="A365" t="s">
        <v>208</v>
      </c>
      <c r="B365" t="s">
        <v>96</v>
      </c>
      <c r="C365">
        <v>-1.5</v>
      </c>
      <c r="D365" t="b">
        <v>1</v>
      </c>
      <c r="E365" s="59">
        <v>0.54</v>
      </c>
      <c r="F365" t="s">
        <v>18</v>
      </c>
      <c r="G365" s="22">
        <v>45975</v>
      </c>
    </row>
    <row r="366" spans="1:7" x14ac:dyDescent="0.25">
      <c r="A366" t="s">
        <v>286</v>
      </c>
      <c r="B366" t="s">
        <v>284</v>
      </c>
      <c r="C366">
        <v>-24.5</v>
      </c>
      <c r="D366" s="64" t="b">
        <v>1</v>
      </c>
      <c r="E366" s="59">
        <v>1</v>
      </c>
      <c r="F366" t="s">
        <v>18</v>
      </c>
      <c r="G366" s="22">
        <v>45974</v>
      </c>
    </row>
    <row r="367" spans="1:7" x14ac:dyDescent="0.25">
      <c r="A367" t="s">
        <v>47</v>
      </c>
      <c r="B367" t="s">
        <v>130</v>
      </c>
      <c r="C367">
        <v>-13.5</v>
      </c>
      <c r="D367" s="64" t="b">
        <v>1</v>
      </c>
      <c r="E367" s="59">
        <v>0.99</v>
      </c>
      <c r="F367" t="s">
        <v>18</v>
      </c>
      <c r="G367" s="22">
        <v>45974</v>
      </c>
    </row>
    <row r="368" spans="1:7" x14ac:dyDescent="0.25">
      <c r="A368" t="s">
        <v>39</v>
      </c>
      <c r="B368" t="s">
        <v>250</v>
      </c>
      <c r="C368">
        <v>-15</v>
      </c>
      <c r="D368" s="64" t="b">
        <v>1</v>
      </c>
      <c r="E368" s="59">
        <v>0.98750000000000004</v>
      </c>
      <c r="F368" t="s">
        <v>18</v>
      </c>
      <c r="G368" s="22">
        <v>45974</v>
      </c>
    </row>
    <row r="369" spans="1:7" x14ac:dyDescent="0.25">
      <c r="A369" t="s">
        <v>110</v>
      </c>
      <c r="B369" t="s">
        <v>316</v>
      </c>
      <c r="C369">
        <v>-6.5</v>
      </c>
      <c r="D369" s="64" t="b">
        <v>1</v>
      </c>
      <c r="E369" s="59">
        <v>0.95750000000000002</v>
      </c>
      <c r="F369" t="s">
        <v>18</v>
      </c>
      <c r="G369" s="22">
        <v>45974</v>
      </c>
    </row>
    <row r="370" spans="1:7" x14ac:dyDescent="0.25">
      <c r="A370" t="s">
        <v>245</v>
      </c>
      <c r="B370" t="s">
        <v>89</v>
      </c>
      <c r="C370">
        <v>-12.5</v>
      </c>
      <c r="D370" s="64" t="b">
        <v>1</v>
      </c>
      <c r="E370" s="59">
        <v>0.87749999999999995</v>
      </c>
      <c r="F370" t="s">
        <v>15</v>
      </c>
      <c r="G370" s="22">
        <v>45974</v>
      </c>
    </row>
    <row r="371" spans="1:7" x14ac:dyDescent="0.25">
      <c r="A371" t="s">
        <v>288</v>
      </c>
      <c r="B371" t="s">
        <v>215</v>
      </c>
      <c r="C371">
        <v>-5.5</v>
      </c>
      <c r="D371" s="64" t="b">
        <v>1</v>
      </c>
      <c r="E371" s="59">
        <v>0.82750000000000001</v>
      </c>
      <c r="F371" t="s">
        <v>15</v>
      </c>
      <c r="G371" s="22">
        <v>45974</v>
      </c>
    </row>
    <row r="372" spans="1:7" x14ac:dyDescent="0.25">
      <c r="A372" t="s">
        <v>315</v>
      </c>
      <c r="B372" t="s">
        <v>354</v>
      </c>
      <c r="C372">
        <v>-7.5</v>
      </c>
      <c r="D372" s="64" t="b">
        <v>1</v>
      </c>
      <c r="E372" s="59">
        <v>0.82750000000000001</v>
      </c>
      <c r="F372" t="s">
        <v>15</v>
      </c>
      <c r="G372" s="22">
        <v>45974</v>
      </c>
    </row>
    <row r="373" spans="1:7" x14ac:dyDescent="0.25">
      <c r="A373" t="s">
        <v>67</v>
      </c>
      <c r="B373" t="s">
        <v>113</v>
      </c>
      <c r="C373">
        <v>-4.5</v>
      </c>
      <c r="D373" s="64" t="b">
        <v>1</v>
      </c>
      <c r="E373" s="59">
        <v>0.82499999999999996</v>
      </c>
      <c r="F373" t="s">
        <v>18</v>
      </c>
      <c r="G373" s="22">
        <v>45974</v>
      </c>
    </row>
    <row r="374" spans="1:7" x14ac:dyDescent="0.25">
      <c r="A374" t="s">
        <v>282</v>
      </c>
      <c r="B374" t="s">
        <v>238</v>
      </c>
      <c r="C374">
        <v>-21.5</v>
      </c>
      <c r="D374" t="b">
        <v>1</v>
      </c>
      <c r="E374" s="59">
        <v>1</v>
      </c>
      <c r="F374" t="s">
        <v>18</v>
      </c>
      <c r="G374" s="22">
        <v>45973</v>
      </c>
    </row>
    <row r="375" spans="1:7" x14ac:dyDescent="0.25">
      <c r="A375" t="s">
        <v>233</v>
      </c>
      <c r="B375" t="s">
        <v>258</v>
      </c>
      <c r="C375">
        <v>-22.5</v>
      </c>
      <c r="D375" t="b">
        <v>1</v>
      </c>
      <c r="E375" s="59">
        <v>1</v>
      </c>
      <c r="F375" t="s">
        <v>15</v>
      </c>
      <c r="G375" s="22">
        <v>45973</v>
      </c>
    </row>
    <row r="376" spans="1:7" x14ac:dyDescent="0.25">
      <c r="A376" t="s">
        <v>285</v>
      </c>
      <c r="B376" t="s">
        <v>73</v>
      </c>
      <c r="C376">
        <v>-14.5</v>
      </c>
      <c r="D376" t="b">
        <v>1</v>
      </c>
      <c r="E376" s="59">
        <v>1</v>
      </c>
      <c r="F376" t="s">
        <v>18</v>
      </c>
      <c r="G376" s="22">
        <v>45973</v>
      </c>
    </row>
    <row r="377" spans="1:7" x14ac:dyDescent="0.25">
      <c r="A377" t="s">
        <v>114</v>
      </c>
      <c r="B377" t="s">
        <v>78</v>
      </c>
      <c r="C377">
        <v>-26.5</v>
      </c>
      <c r="D377" t="b">
        <v>1</v>
      </c>
      <c r="E377" s="59">
        <v>0.995</v>
      </c>
      <c r="F377" t="s">
        <v>18</v>
      </c>
      <c r="G377" s="22">
        <v>45973</v>
      </c>
    </row>
    <row r="378" spans="1:7" x14ac:dyDescent="0.25">
      <c r="A378" t="s">
        <v>88</v>
      </c>
      <c r="B378" t="s">
        <v>210</v>
      </c>
      <c r="C378">
        <v>-15.5</v>
      </c>
      <c r="D378" t="b">
        <v>1</v>
      </c>
      <c r="E378" s="59">
        <v>0.995</v>
      </c>
      <c r="F378" t="s">
        <v>15</v>
      </c>
      <c r="G378" s="22">
        <v>45973</v>
      </c>
    </row>
    <row r="379" spans="1:7" x14ac:dyDescent="0.25">
      <c r="A379" t="s">
        <v>108</v>
      </c>
      <c r="B379" t="s">
        <v>351</v>
      </c>
      <c r="C379">
        <v>-18</v>
      </c>
      <c r="D379" t="b">
        <v>1</v>
      </c>
      <c r="E379" s="59">
        <v>0.995</v>
      </c>
      <c r="F379" t="s">
        <v>18</v>
      </c>
      <c r="G379" s="22">
        <v>45973</v>
      </c>
    </row>
    <row r="380" spans="1:7" x14ac:dyDescent="0.25">
      <c r="A380" t="s">
        <v>317</v>
      </c>
      <c r="B380" t="s">
        <v>352</v>
      </c>
      <c r="C380">
        <v>-20.5</v>
      </c>
      <c r="D380" t="b">
        <v>1</v>
      </c>
      <c r="E380" s="59">
        <v>0.995</v>
      </c>
      <c r="F380" t="s">
        <v>18</v>
      </c>
      <c r="G380" s="22">
        <v>45973</v>
      </c>
    </row>
    <row r="381" spans="1:7" x14ac:dyDescent="0.25">
      <c r="A381" t="s">
        <v>232</v>
      </c>
      <c r="B381" t="s">
        <v>118</v>
      </c>
      <c r="C381">
        <v>-29.5</v>
      </c>
      <c r="D381" t="b">
        <v>1</v>
      </c>
      <c r="E381" s="59">
        <v>0.99250000000000005</v>
      </c>
      <c r="F381" t="s">
        <v>15</v>
      </c>
      <c r="G381" s="22">
        <v>45973</v>
      </c>
    </row>
    <row r="382" spans="1:7" x14ac:dyDescent="0.25">
      <c r="A382" t="s">
        <v>332</v>
      </c>
      <c r="B382" t="s">
        <v>104</v>
      </c>
      <c r="C382">
        <v>-20.5</v>
      </c>
      <c r="D382" t="b">
        <v>1</v>
      </c>
      <c r="E382" s="59">
        <v>0.98499999999999999</v>
      </c>
      <c r="F382" t="s">
        <v>15</v>
      </c>
      <c r="G382" s="22">
        <v>45973</v>
      </c>
    </row>
    <row r="383" spans="1:7" x14ac:dyDescent="0.25">
      <c r="A383" t="s">
        <v>323</v>
      </c>
      <c r="B383" t="s">
        <v>91</v>
      </c>
      <c r="C383">
        <v>-10</v>
      </c>
      <c r="D383" t="b">
        <v>1</v>
      </c>
      <c r="E383" s="59">
        <v>0.98250000000000004</v>
      </c>
      <c r="F383" t="s">
        <v>18</v>
      </c>
      <c r="G383" s="22">
        <v>45973</v>
      </c>
    </row>
    <row r="384" spans="1:7" x14ac:dyDescent="0.25">
      <c r="A384" t="s">
        <v>319</v>
      </c>
      <c r="B384" t="s">
        <v>253</v>
      </c>
      <c r="C384">
        <v>-13</v>
      </c>
      <c r="D384" t="b">
        <v>1</v>
      </c>
      <c r="E384" s="59">
        <v>0.97750000000000004</v>
      </c>
      <c r="F384" t="s">
        <v>15</v>
      </c>
      <c r="G384" s="22">
        <v>45973</v>
      </c>
    </row>
    <row r="385" spans="1:7" x14ac:dyDescent="0.25">
      <c r="A385" t="s">
        <v>236</v>
      </c>
      <c r="B385" t="s">
        <v>213</v>
      </c>
      <c r="C385">
        <v>-8.5</v>
      </c>
      <c r="D385" t="b">
        <v>1</v>
      </c>
      <c r="E385" s="59">
        <v>0.88</v>
      </c>
      <c r="F385" t="s">
        <v>18</v>
      </c>
      <c r="G385" s="22">
        <v>45973</v>
      </c>
    </row>
    <row r="386" spans="1:7" x14ac:dyDescent="0.25">
      <c r="A386" t="s">
        <v>59</v>
      </c>
      <c r="B386" t="s">
        <v>173</v>
      </c>
      <c r="C386">
        <v>-7.5</v>
      </c>
      <c r="D386" t="b">
        <v>1</v>
      </c>
      <c r="E386" s="59">
        <v>0.85750000000000004</v>
      </c>
      <c r="F386" t="s">
        <v>15</v>
      </c>
      <c r="G386" s="22">
        <v>45973</v>
      </c>
    </row>
    <row r="387" spans="1:7" x14ac:dyDescent="0.25">
      <c r="A387" t="s">
        <v>111</v>
      </c>
      <c r="B387" t="s">
        <v>27</v>
      </c>
      <c r="C387">
        <v>-1.5</v>
      </c>
      <c r="D387" t="b">
        <v>0</v>
      </c>
      <c r="E387" s="59">
        <v>0.6925</v>
      </c>
      <c r="F387" t="s">
        <v>18</v>
      </c>
      <c r="G387" s="22">
        <v>45973</v>
      </c>
    </row>
    <row r="388" spans="1:7" x14ac:dyDescent="0.25">
      <c r="A388" t="s">
        <v>353</v>
      </c>
      <c r="B388" t="s">
        <v>165</v>
      </c>
      <c r="C388">
        <v>-1.5</v>
      </c>
      <c r="D388" t="b">
        <v>1</v>
      </c>
      <c r="E388" s="59">
        <v>0.53749999999999998</v>
      </c>
      <c r="F388" t="s">
        <v>15</v>
      </c>
      <c r="G388" s="22">
        <v>45973</v>
      </c>
    </row>
    <row r="389" spans="1:7" x14ac:dyDescent="0.25">
      <c r="A389" t="s">
        <v>249</v>
      </c>
      <c r="B389" t="s">
        <v>333</v>
      </c>
      <c r="C389">
        <v>-18.5</v>
      </c>
      <c r="D389" s="33" t="b">
        <v>1</v>
      </c>
      <c r="E389" s="59">
        <v>1</v>
      </c>
      <c r="F389" t="s">
        <v>15</v>
      </c>
      <c r="G389" s="22">
        <v>45972</v>
      </c>
    </row>
    <row r="390" spans="1:7" x14ac:dyDescent="0.25">
      <c r="A390" t="s">
        <v>208</v>
      </c>
      <c r="B390" t="s">
        <v>221</v>
      </c>
      <c r="C390">
        <v>-23.5</v>
      </c>
      <c r="D390" s="33" t="b">
        <v>1</v>
      </c>
      <c r="E390" s="59">
        <v>1</v>
      </c>
      <c r="F390" t="s">
        <v>15</v>
      </c>
      <c r="G390" s="22">
        <v>45972</v>
      </c>
    </row>
    <row r="391" spans="1:7" x14ac:dyDescent="0.25">
      <c r="A391" t="s">
        <v>32</v>
      </c>
      <c r="B391" t="s">
        <v>194</v>
      </c>
      <c r="C391">
        <v>-35.5</v>
      </c>
      <c r="D391" s="33" t="b">
        <v>1</v>
      </c>
      <c r="E391" s="59">
        <v>1</v>
      </c>
      <c r="F391" t="s">
        <v>18</v>
      </c>
      <c r="G391" s="22">
        <v>45972</v>
      </c>
    </row>
    <row r="392" spans="1:7" x14ac:dyDescent="0.25">
      <c r="A392" t="s">
        <v>295</v>
      </c>
      <c r="B392" t="s">
        <v>66</v>
      </c>
      <c r="C392">
        <v>-25.5</v>
      </c>
      <c r="D392" s="33" t="b">
        <v>1</v>
      </c>
      <c r="E392" s="59">
        <v>1</v>
      </c>
      <c r="F392" t="s">
        <v>15</v>
      </c>
      <c r="G392" s="22">
        <v>45972</v>
      </c>
    </row>
    <row r="393" spans="1:7" x14ac:dyDescent="0.25">
      <c r="A393" t="s">
        <v>87</v>
      </c>
      <c r="B393" t="s">
        <v>283</v>
      </c>
      <c r="C393">
        <v>-12.5</v>
      </c>
      <c r="D393" s="33" t="b">
        <v>1</v>
      </c>
      <c r="E393" s="59">
        <v>0.99750000000000005</v>
      </c>
      <c r="F393" t="s">
        <v>18</v>
      </c>
      <c r="G393" s="22">
        <v>45972</v>
      </c>
    </row>
    <row r="394" spans="1:7" x14ac:dyDescent="0.25">
      <c r="A394" t="s">
        <v>243</v>
      </c>
      <c r="B394" t="s">
        <v>129</v>
      </c>
      <c r="C394">
        <v>-20</v>
      </c>
      <c r="D394" s="33" t="b">
        <v>1</v>
      </c>
      <c r="E394" s="59">
        <v>0.99750000000000005</v>
      </c>
      <c r="F394" t="s">
        <v>15</v>
      </c>
      <c r="G394" s="22">
        <v>45972</v>
      </c>
    </row>
    <row r="395" spans="1:7" x14ac:dyDescent="0.25">
      <c r="A395" t="s">
        <v>69</v>
      </c>
      <c r="B395" t="s">
        <v>62</v>
      </c>
      <c r="C395">
        <v>-13.5</v>
      </c>
      <c r="D395" s="33" t="b">
        <v>1</v>
      </c>
      <c r="E395" s="59">
        <v>0.99750000000000005</v>
      </c>
      <c r="F395" t="s">
        <v>15</v>
      </c>
      <c r="G395" s="22">
        <v>45972</v>
      </c>
    </row>
    <row r="396" spans="1:7" x14ac:dyDescent="0.25">
      <c r="A396" t="s">
        <v>334</v>
      </c>
      <c r="B396" t="s">
        <v>218</v>
      </c>
      <c r="C396">
        <v>-29.5</v>
      </c>
      <c r="D396" s="33" t="b">
        <v>1</v>
      </c>
      <c r="E396" s="59">
        <v>0.99750000000000005</v>
      </c>
      <c r="F396" t="s">
        <v>18</v>
      </c>
      <c r="G396" s="22">
        <v>45972</v>
      </c>
    </row>
    <row r="397" spans="1:7" x14ac:dyDescent="0.25">
      <c r="A397" t="s">
        <v>272</v>
      </c>
      <c r="B397" t="s">
        <v>220</v>
      </c>
      <c r="C397">
        <v>-18.5</v>
      </c>
      <c r="D397" s="33" t="b">
        <v>1</v>
      </c>
      <c r="E397" s="59">
        <v>0.99750000000000005</v>
      </c>
      <c r="F397" t="s">
        <v>18</v>
      </c>
      <c r="G397" s="22">
        <v>45972</v>
      </c>
    </row>
    <row r="398" spans="1:7" x14ac:dyDescent="0.25">
      <c r="A398" t="s">
        <v>193</v>
      </c>
      <c r="B398" t="s">
        <v>335</v>
      </c>
      <c r="C398">
        <v>-21.5</v>
      </c>
      <c r="D398" s="33" t="b">
        <v>1</v>
      </c>
      <c r="E398" s="59">
        <v>0.995</v>
      </c>
      <c r="F398" t="s">
        <v>18</v>
      </c>
      <c r="G398" s="22">
        <v>45972</v>
      </c>
    </row>
    <row r="399" spans="1:7" x14ac:dyDescent="0.25">
      <c r="A399" t="s">
        <v>336</v>
      </c>
      <c r="B399" t="s">
        <v>204</v>
      </c>
      <c r="C399">
        <v>-24.5</v>
      </c>
      <c r="D399" s="33" t="b">
        <v>1</v>
      </c>
      <c r="E399" s="59">
        <v>0.99250000000000005</v>
      </c>
      <c r="F399" t="s">
        <v>15</v>
      </c>
      <c r="G399" s="22">
        <v>45972</v>
      </c>
    </row>
    <row r="400" spans="1:7" x14ac:dyDescent="0.25">
      <c r="A400" t="s">
        <v>315</v>
      </c>
      <c r="B400" t="s">
        <v>36</v>
      </c>
      <c r="C400">
        <v>-30.5</v>
      </c>
      <c r="D400" s="33" t="b">
        <v>1</v>
      </c>
      <c r="E400" s="59">
        <v>0.99250000000000005</v>
      </c>
      <c r="F400" t="s">
        <v>18</v>
      </c>
      <c r="G400" s="22">
        <v>45972</v>
      </c>
    </row>
    <row r="401" spans="1:7" x14ac:dyDescent="0.25">
      <c r="A401" t="s">
        <v>337</v>
      </c>
      <c r="B401" t="s">
        <v>168</v>
      </c>
      <c r="C401">
        <v>-18.5</v>
      </c>
      <c r="D401" s="33" t="b">
        <v>1</v>
      </c>
      <c r="E401" s="59">
        <v>0.99</v>
      </c>
      <c r="F401" t="s">
        <v>18</v>
      </c>
      <c r="G401" s="22">
        <v>45972</v>
      </c>
    </row>
    <row r="402" spans="1:7" x14ac:dyDescent="0.25">
      <c r="A402" t="s">
        <v>320</v>
      </c>
      <c r="B402" t="s">
        <v>271</v>
      </c>
      <c r="C402">
        <v>-9.5</v>
      </c>
      <c r="D402" s="33" t="b">
        <v>1</v>
      </c>
      <c r="E402" s="59">
        <v>0.99</v>
      </c>
      <c r="F402" t="s">
        <v>18</v>
      </c>
      <c r="G402" s="22">
        <v>45972</v>
      </c>
    </row>
    <row r="403" spans="1:7" x14ac:dyDescent="0.25">
      <c r="A403" t="s">
        <v>338</v>
      </c>
      <c r="B403" t="s">
        <v>202</v>
      </c>
      <c r="C403">
        <v>-17.5</v>
      </c>
      <c r="D403" s="33" t="b">
        <v>1</v>
      </c>
      <c r="E403" s="59">
        <v>0.98750000000000004</v>
      </c>
      <c r="F403" t="s">
        <v>18</v>
      </c>
      <c r="G403" s="22">
        <v>45972</v>
      </c>
    </row>
    <row r="404" spans="1:7" x14ac:dyDescent="0.25">
      <c r="A404" t="s">
        <v>224</v>
      </c>
      <c r="B404" t="s">
        <v>23</v>
      </c>
      <c r="C404">
        <v>-16.5</v>
      </c>
      <c r="D404" s="33" t="b">
        <v>1</v>
      </c>
      <c r="E404" s="59">
        <v>0.98750000000000004</v>
      </c>
      <c r="F404" t="s">
        <v>15</v>
      </c>
      <c r="G404" s="22">
        <v>45972</v>
      </c>
    </row>
    <row r="405" spans="1:7" x14ac:dyDescent="0.25">
      <c r="A405" t="s">
        <v>239</v>
      </c>
      <c r="B405" t="s">
        <v>163</v>
      </c>
      <c r="C405">
        <v>-19</v>
      </c>
      <c r="D405" s="33" t="b">
        <v>1</v>
      </c>
      <c r="E405" s="59">
        <v>0.98499999999999999</v>
      </c>
      <c r="F405" t="s">
        <v>15</v>
      </c>
      <c r="G405" s="22">
        <v>45972</v>
      </c>
    </row>
    <row r="406" spans="1:7" x14ac:dyDescent="0.25">
      <c r="A406" t="s">
        <v>247</v>
      </c>
      <c r="B406" t="s">
        <v>160</v>
      </c>
      <c r="C406">
        <v>-25</v>
      </c>
      <c r="D406" s="33" t="b">
        <v>1</v>
      </c>
      <c r="E406" s="59">
        <v>0.98250000000000004</v>
      </c>
      <c r="F406" t="s">
        <v>15</v>
      </c>
      <c r="G406" s="22">
        <v>45972</v>
      </c>
    </row>
    <row r="407" spans="1:7" x14ac:dyDescent="0.25">
      <c r="A407" t="s">
        <v>38</v>
      </c>
      <c r="B407" t="s">
        <v>157</v>
      </c>
      <c r="C407">
        <v>-9.5</v>
      </c>
      <c r="D407" s="33" t="b">
        <v>1</v>
      </c>
      <c r="E407" s="59">
        <v>0.98</v>
      </c>
      <c r="F407" t="s">
        <v>18</v>
      </c>
      <c r="G407" s="22">
        <v>45972</v>
      </c>
    </row>
    <row r="408" spans="1:7" x14ac:dyDescent="0.25">
      <c r="A408" t="s">
        <v>339</v>
      </c>
      <c r="B408" t="s">
        <v>256</v>
      </c>
      <c r="C408">
        <v>-11.5</v>
      </c>
      <c r="D408" s="33" t="b">
        <v>1</v>
      </c>
      <c r="E408" s="59">
        <v>0.97250000000000003</v>
      </c>
      <c r="F408" t="s">
        <v>18</v>
      </c>
      <c r="G408" s="22">
        <v>45972</v>
      </c>
    </row>
    <row r="409" spans="1:7" x14ac:dyDescent="0.25">
      <c r="A409" t="s">
        <v>230</v>
      </c>
      <c r="B409" t="s">
        <v>93</v>
      </c>
      <c r="C409">
        <v>-8.5</v>
      </c>
      <c r="D409" s="33" t="b">
        <v>1</v>
      </c>
      <c r="E409" s="59">
        <v>0.97</v>
      </c>
      <c r="F409" t="s">
        <v>18</v>
      </c>
      <c r="G409" s="22">
        <v>45972</v>
      </c>
    </row>
    <row r="410" spans="1:7" x14ac:dyDescent="0.25">
      <c r="A410" t="s">
        <v>340</v>
      </c>
      <c r="B410" t="s">
        <v>127</v>
      </c>
      <c r="C410">
        <v>-19</v>
      </c>
      <c r="D410" s="33" t="b">
        <v>1</v>
      </c>
      <c r="E410" s="59">
        <v>0.96750000000000003</v>
      </c>
      <c r="F410" t="s">
        <v>18</v>
      </c>
      <c r="G410" s="22">
        <v>45972</v>
      </c>
    </row>
    <row r="411" spans="1:7" x14ac:dyDescent="0.25">
      <c r="A411" t="s">
        <v>325</v>
      </c>
      <c r="B411" t="s">
        <v>260</v>
      </c>
      <c r="C411">
        <v>-19</v>
      </c>
      <c r="D411" s="33" t="b">
        <v>1</v>
      </c>
      <c r="E411" s="59">
        <v>1</v>
      </c>
      <c r="F411" t="s">
        <v>15</v>
      </c>
      <c r="G411" s="22">
        <v>45971</v>
      </c>
    </row>
    <row r="412" spans="1:7" x14ac:dyDescent="0.25">
      <c r="A412" t="s">
        <v>326</v>
      </c>
      <c r="B412" t="s">
        <v>327</v>
      </c>
      <c r="C412">
        <v>-24</v>
      </c>
      <c r="D412" s="33" t="b">
        <v>1</v>
      </c>
      <c r="E412" s="59">
        <v>1</v>
      </c>
      <c r="F412" t="s">
        <v>15</v>
      </c>
      <c r="G412" s="22">
        <v>45971</v>
      </c>
    </row>
    <row r="413" spans="1:7" x14ac:dyDescent="0.25">
      <c r="A413" t="s">
        <v>328</v>
      </c>
      <c r="B413" t="s">
        <v>176</v>
      </c>
      <c r="C413">
        <v>-23.5</v>
      </c>
      <c r="D413" s="33" t="b">
        <v>1</v>
      </c>
      <c r="E413" s="59">
        <v>1</v>
      </c>
      <c r="F413" t="s">
        <v>15</v>
      </c>
      <c r="G413" s="22">
        <v>45971</v>
      </c>
    </row>
    <row r="414" spans="1:7" x14ac:dyDescent="0.25">
      <c r="A414" t="s">
        <v>65</v>
      </c>
      <c r="B414" t="s">
        <v>203</v>
      </c>
      <c r="C414">
        <v>-21.5</v>
      </c>
      <c r="D414" s="33" t="b">
        <v>1</v>
      </c>
      <c r="E414" s="59">
        <v>1</v>
      </c>
      <c r="F414" t="s">
        <v>18</v>
      </c>
      <c r="G414" s="22">
        <v>45971</v>
      </c>
    </row>
    <row r="415" spans="1:7" x14ac:dyDescent="0.25">
      <c r="A415" t="s">
        <v>187</v>
      </c>
      <c r="B415" t="s">
        <v>130</v>
      </c>
      <c r="C415">
        <v>-13</v>
      </c>
      <c r="D415" s="33" t="b">
        <v>1</v>
      </c>
      <c r="E415" s="59">
        <v>0.99750000000000005</v>
      </c>
      <c r="F415" t="s">
        <v>15</v>
      </c>
      <c r="G415" s="22">
        <v>45971</v>
      </c>
    </row>
    <row r="416" spans="1:7" x14ac:dyDescent="0.25">
      <c r="A416" t="s">
        <v>329</v>
      </c>
      <c r="B416" t="s">
        <v>214</v>
      </c>
      <c r="C416">
        <v>-18.5</v>
      </c>
      <c r="D416" s="33" t="b">
        <v>1</v>
      </c>
      <c r="E416" s="59">
        <v>0.99750000000000005</v>
      </c>
      <c r="F416" t="s">
        <v>18</v>
      </c>
      <c r="G416" s="22">
        <v>45971</v>
      </c>
    </row>
    <row r="417" spans="1:7" x14ac:dyDescent="0.25">
      <c r="A417" t="s">
        <v>83</v>
      </c>
      <c r="B417" t="s">
        <v>166</v>
      </c>
      <c r="C417">
        <v>-17</v>
      </c>
      <c r="D417" s="33" t="b">
        <v>1</v>
      </c>
      <c r="E417" s="59">
        <v>0.98750000000000004</v>
      </c>
      <c r="F417" t="s">
        <v>18</v>
      </c>
      <c r="G417" s="22">
        <v>45971</v>
      </c>
    </row>
    <row r="418" spans="1:7" x14ac:dyDescent="0.25">
      <c r="A418" t="s">
        <v>330</v>
      </c>
      <c r="B418" t="s">
        <v>245</v>
      </c>
      <c r="C418">
        <v>-10.5</v>
      </c>
      <c r="D418" s="33" t="b">
        <v>1</v>
      </c>
      <c r="E418" s="59">
        <v>0.96250000000000002</v>
      </c>
      <c r="F418" t="s">
        <v>18</v>
      </c>
      <c r="G418" s="22">
        <v>45971</v>
      </c>
    </row>
    <row r="419" spans="1:7" x14ac:dyDescent="0.25">
      <c r="A419" t="s">
        <v>279</v>
      </c>
      <c r="B419" t="s">
        <v>184</v>
      </c>
      <c r="C419">
        <v>-6</v>
      </c>
      <c r="D419" s="33" t="b">
        <v>1</v>
      </c>
      <c r="E419" s="59">
        <v>0.93</v>
      </c>
      <c r="F419" t="s">
        <v>15</v>
      </c>
      <c r="G419" s="22">
        <v>45971</v>
      </c>
    </row>
    <row r="420" spans="1:7" x14ac:dyDescent="0.25">
      <c r="A420" t="s">
        <v>92</v>
      </c>
      <c r="B420" t="s">
        <v>43</v>
      </c>
      <c r="C420">
        <v>-4</v>
      </c>
      <c r="D420" s="33" t="b">
        <v>1</v>
      </c>
      <c r="E420" s="59">
        <v>0.78749999999999998</v>
      </c>
      <c r="F420" t="s">
        <v>18</v>
      </c>
      <c r="G420" s="22">
        <v>45971</v>
      </c>
    </row>
    <row r="421" spans="1:7" x14ac:dyDescent="0.25">
      <c r="A421" t="s">
        <v>88</v>
      </c>
      <c r="B421" t="s">
        <v>331</v>
      </c>
      <c r="C421">
        <v>-2.5</v>
      </c>
      <c r="D421" s="33" t="b">
        <v>1</v>
      </c>
      <c r="E421" s="59">
        <v>0.72499999999999998</v>
      </c>
      <c r="F421" t="s">
        <v>18</v>
      </c>
      <c r="G421" s="22">
        <v>45971</v>
      </c>
    </row>
    <row r="422" spans="1:7" x14ac:dyDescent="0.25">
      <c r="A422" t="s">
        <v>332</v>
      </c>
      <c r="B422" t="s">
        <v>233</v>
      </c>
      <c r="C422">
        <v>-3.5</v>
      </c>
      <c r="D422" s="33" t="b">
        <v>1</v>
      </c>
      <c r="E422" s="59">
        <v>0.6</v>
      </c>
      <c r="F422" t="s">
        <v>15</v>
      </c>
      <c r="G422" s="22">
        <v>45971</v>
      </c>
    </row>
    <row r="423" spans="1:7" x14ac:dyDescent="0.25">
      <c r="A423" t="s">
        <v>315</v>
      </c>
      <c r="B423" t="s">
        <v>59</v>
      </c>
      <c r="C423">
        <v>-31</v>
      </c>
      <c r="D423" s="33" t="b">
        <v>1</v>
      </c>
      <c r="E423" s="59">
        <v>1</v>
      </c>
      <c r="F423" t="s">
        <v>15</v>
      </c>
      <c r="G423" s="20">
        <v>45969</v>
      </c>
    </row>
    <row r="424" spans="1:7" x14ac:dyDescent="0.25">
      <c r="A424" t="s">
        <v>279</v>
      </c>
      <c r="B424" t="s">
        <v>109</v>
      </c>
      <c r="C424">
        <v>-27.5</v>
      </c>
      <c r="D424" s="33" t="b">
        <v>1</v>
      </c>
      <c r="E424" s="59">
        <v>1</v>
      </c>
      <c r="F424" t="s">
        <v>15</v>
      </c>
      <c r="G424" s="20">
        <v>45969</v>
      </c>
    </row>
    <row r="425" spans="1:7" x14ac:dyDescent="0.25">
      <c r="A425" t="s">
        <v>65</v>
      </c>
      <c r="B425" t="s">
        <v>194</v>
      </c>
      <c r="C425">
        <v>-39</v>
      </c>
      <c r="D425" s="33" t="b">
        <v>1</v>
      </c>
      <c r="E425" s="59">
        <v>1</v>
      </c>
      <c r="F425" t="s">
        <v>15</v>
      </c>
      <c r="G425" s="20">
        <v>45969</v>
      </c>
    </row>
    <row r="426" spans="1:7" x14ac:dyDescent="0.25">
      <c r="A426" t="s">
        <v>95</v>
      </c>
      <c r="B426" t="s">
        <v>316</v>
      </c>
      <c r="C426">
        <v>-28</v>
      </c>
      <c r="D426" s="33" t="b">
        <v>1</v>
      </c>
      <c r="E426" s="59">
        <v>1</v>
      </c>
      <c r="F426" t="s">
        <v>18</v>
      </c>
      <c r="G426" s="20">
        <v>45969</v>
      </c>
    </row>
    <row r="427" spans="1:7" x14ac:dyDescent="0.25">
      <c r="A427" t="s">
        <v>106</v>
      </c>
      <c r="B427" t="s">
        <v>85</v>
      </c>
      <c r="C427">
        <v>-25.5</v>
      </c>
      <c r="D427" s="33" t="b">
        <v>1</v>
      </c>
      <c r="E427" s="59">
        <v>1</v>
      </c>
      <c r="F427" t="s">
        <v>15</v>
      </c>
      <c r="G427" s="20">
        <v>45969</v>
      </c>
    </row>
    <row r="428" spans="1:7" x14ac:dyDescent="0.25">
      <c r="A428" t="s">
        <v>179</v>
      </c>
      <c r="B428" t="s">
        <v>129</v>
      </c>
      <c r="C428">
        <v>-18</v>
      </c>
      <c r="D428" s="33" t="b">
        <v>1</v>
      </c>
      <c r="E428" s="59">
        <v>1</v>
      </c>
      <c r="F428" t="s">
        <v>15</v>
      </c>
      <c r="G428" s="20">
        <v>45969</v>
      </c>
    </row>
    <row r="429" spans="1:7" x14ac:dyDescent="0.25">
      <c r="A429" t="s">
        <v>317</v>
      </c>
      <c r="B429" t="s">
        <v>203</v>
      </c>
      <c r="C429">
        <v>-15.5</v>
      </c>
      <c r="D429" s="33" t="b">
        <v>1</v>
      </c>
      <c r="E429" s="59">
        <v>1</v>
      </c>
      <c r="F429" t="s">
        <v>18</v>
      </c>
      <c r="G429" s="20">
        <v>45969</v>
      </c>
    </row>
    <row r="430" spans="1:7" x14ac:dyDescent="0.25">
      <c r="A430" t="s">
        <v>318</v>
      </c>
      <c r="B430" t="s">
        <v>58</v>
      </c>
      <c r="C430">
        <v>-25.5</v>
      </c>
      <c r="D430" s="33" t="b">
        <v>1</v>
      </c>
      <c r="E430" s="59">
        <v>0.99750000000000005</v>
      </c>
      <c r="F430" t="s">
        <v>18</v>
      </c>
      <c r="G430" s="20">
        <v>45969</v>
      </c>
    </row>
    <row r="431" spans="1:7" x14ac:dyDescent="0.25">
      <c r="A431" t="s">
        <v>33</v>
      </c>
      <c r="B431" t="s">
        <v>118</v>
      </c>
      <c r="C431">
        <v>-27</v>
      </c>
      <c r="D431" s="33" t="b">
        <v>1</v>
      </c>
      <c r="E431" s="59">
        <v>0.99750000000000005</v>
      </c>
      <c r="F431" t="s">
        <v>18</v>
      </c>
      <c r="G431" s="20">
        <v>45969</v>
      </c>
    </row>
    <row r="432" spans="1:7" x14ac:dyDescent="0.25">
      <c r="A432" t="s">
        <v>289</v>
      </c>
      <c r="B432" t="s">
        <v>79</v>
      </c>
      <c r="C432">
        <v>-21.5</v>
      </c>
      <c r="D432" s="33" t="b">
        <v>1</v>
      </c>
      <c r="E432" s="59">
        <v>0.99250000000000005</v>
      </c>
      <c r="F432" t="s">
        <v>15</v>
      </c>
      <c r="G432" s="20">
        <v>45969</v>
      </c>
    </row>
    <row r="433" spans="1:7" x14ac:dyDescent="0.25">
      <c r="A433" t="s">
        <v>55</v>
      </c>
      <c r="B433" t="s">
        <v>273</v>
      </c>
      <c r="C433">
        <v>-12</v>
      </c>
      <c r="D433" s="33" t="b">
        <v>1</v>
      </c>
      <c r="E433" s="59">
        <v>0.99</v>
      </c>
      <c r="F433" t="s">
        <v>15</v>
      </c>
      <c r="G433" s="20">
        <v>45969</v>
      </c>
    </row>
    <row r="434" spans="1:7" x14ac:dyDescent="0.25">
      <c r="A434" t="s">
        <v>122</v>
      </c>
      <c r="B434" t="s">
        <v>319</v>
      </c>
      <c r="C434">
        <v>-9.5</v>
      </c>
      <c r="D434" s="33" t="b">
        <v>1</v>
      </c>
      <c r="E434" s="59">
        <v>0.98499999999999999</v>
      </c>
      <c r="F434" t="s">
        <v>15</v>
      </c>
      <c r="G434" s="20">
        <v>45969</v>
      </c>
    </row>
    <row r="435" spans="1:7" x14ac:dyDescent="0.25">
      <c r="A435" t="s">
        <v>228</v>
      </c>
      <c r="B435" t="s">
        <v>168</v>
      </c>
      <c r="C435">
        <v>-13</v>
      </c>
      <c r="D435" s="33" t="b">
        <v>1</v>
      </c>
      <c r="E435" s="59">
        <v>0.98250000000000004</v>
      </c>
      <c r="F435" t="s">
        <v>15</v>
      </c>
      <c r="G435" s="20">
        <v>45969</v>
      </c>
    </row>
    <row r="436" spans="1:7" x14ac:dyDescent="0.25">
      <c r="A436" t="s">
        <v>91</v>
      </c>
      <c r="B436" t="s">
        <v>121</v>
      </c>
      <c r="C436">
        <v>-13</v>
      </c>
      <c r="D436" s="33" t="b">
        <v>1</v>
      </c>
      <c r="E436" s="59">
        <v>0.98</v>
      </c>
      <c r="F436" t="s">
        <v>18</v>
      </c>
      <c r="G436" s="20">
        <v>45969</v>
      </c>
    </row>
    <row r="437" spans="1:7" x14ac:dyDescent="0.25">
      <c r="A437" t="s">
        <v>320</v>
      </c>
      <c r="B437" t="s">
        <v>73</v>
      </c>
      <c r="C437">
        <v>-12</v>
      </c>
      <c r="D437" s="33" t="b">
        <v>1</v>
      </c>
      <c r="E437" s="59">
        <v>0.96750000000000003</v>
      </c>
      <c r="F437" t="s">
        <v>15</v>
      </c>
      <c r="G437" s="20">
        <v>45969</v>
      </c>
    </row>
    <row r="438" spans="1:7" x14ac:dyDescent="0.25">
      <c r="A438" t="s">
        <v>108</v>
      </c>
      <c r="B438" t="s">
        <v>197</v>
      </c>
      <c r="C438">
        <v>-9</v>
      </c>
      <c r="D438" s="33" t="b">
        <v>1</v>
      </c>
      <c r="E438" s="59">
        <v>0.93500000000000005</v>
      </c>
      <c r="F438" t="s">
        <v>18</v>
      </c>
      <c r="G438" s="20">
        <v>45969</v>
      </c>
    </row>
    <row r="439" spans="1:7" x14ac:dyDescent="0.25">
      <c r="A439" t="s">
        <v>198</v>
      </c>
      <c r="B439" t="s">
        <v>321</v>
      </c>
      <c r="C439">
        <v>-12</v>
      </c>
      <c r="D439" s="33" t="b">
        <v>1</v>
      </c>
      <c r="E439" s="59">
        <v>0.9325</v>
      </c>
      <c r="F439" t="s">
        <v>15</v>
      </c>
      <c r="G439" s="20">
        <v>45969</v>
      </c>
    </row>
    <row r="440" spans="1:7" x14ac:dyDescent="0.25">
      <c r="A440" t="s">
        <v>322</v>
      </c>
      <c r="B440" t="s">
        <v>250</v>
      </c>
      <c r="C440">
        <v>-8.5</v>
      </c>
      <c r="D440" s="33" t="b">
        <v>1</v>
      </c>
      <c r="E440" s="59">
        <v>0.88249999999999995</v>
      </c>
      <c r="F440" t="s">
        <v>15</v>
      </c>
      <c r="G440" s="20">
        <v>45969</v>
      </c>
    </row>
    <row r="441" spans="1:7" x14ac:dyDescent="0.25">
      <c r="A441" t="s">
        <v>47</v>
      </c>
      <c r="B441" t="s">
        <v>61</v>
      </c>
      <c r="C441">
        <v>-5</v>
      </c>
      <c r="D441" s="33" t="b">
        <v>1</v>
      </c>
      <c r="E441" s="59">
        <v>0.77749999999999997</v>
      </c>
      <c r="F441" t="s">
        <v>15</v>
      </c>
      <c r="G441" s="20">
        <v>45969</v>
      </c>
    </row>
    <row r="442" spans="1:7" x14ac:dyDescent="0.25">
      <c r="A442" t="s">
        <v>105</v>
      </c>
      <c r="B442" t="s">
        <v>271</v>
      </c>
      <c r="C442">
        <v>-8</v>
      </c>
      <c r="D442" s="33" t="b">
        <v>1</v>
      </c>
      <c r="E442" s="59">
        <v>0.77500000000000002</v>
      </c>
      <c r="F442" t="s">
        <v>15</v>
      </c>
      <c r="G442" s="20">
        <v>45969</v>
      </c>
    </row>
    <row r="443" spans="1:7" x14ac:dyDescent="0.25">
      <c r="A443" t="s">
        <v>323</v>
      </c>
      <c r="B443" t="s">
        <v>324</v>
      </c>
      <c r="C443">
        <v>-6.5</v>
      </c>
      <c r="D443" s="33" t="b">
        <v>1</v>
      </c>
      <c r="E443" s="59">
        <v>0.75</v>
      </c>
      <c r="F443" t="s">
        <v>15</v>
      </c>
      <c r="G443" s="20">
        <v>45969</v>
      </c>
    </row>
    <row r="444" spans="1:7" x14ac:dyDescent="0.25">
      <c r="A444" t="s">
        <v>184</v>
      </c>
      <c r="B444" t="s">
        <v>114</v>
      </c>
      <c r="C444">
        <v>-3</v>
      </c>
      <c r="D444" s="33" t="b">
        <v>1</v>
      </c>
      <c r="E444" s="59">
        <v>0.71499999999999997</v>
      </c>
      <c r="F444" t="s">
        <v>18</v>
      </c>
      <c r="G444" s="20">
        <v>45969</v>
      </c>
    </row>
    <row r="445" spans="1:7" x14ac:dyDescent="0.25">
      <c r="A445" t="s">
        <v>50</v>
      </c>
      <c r="B445" t="s">
        <v>284</v>
      </c>
      <c r="C445">
        <v>-2.5</v>
      </c>
      <c r="D445" s="33" t="b">
        <v>1</v>
      </c>
      <c r="E445" s="59">
        <v>0.70750000000000002</v>
      </c>
      <c r="F445" t="s">
        <v>15</v>
      </c>
      <c r="G445" s="20">
        <v>45969</v>
      </c>
    </row>
    <row r="446" spans="1:7" x14ac:dyDescent="0.25">
      <c r="A446" t="s">
        <v>213</v>
      </c>
      <c r="B446" t="s">
        <v>150</v>
      </c>
      <c r="C446">
        <v>-2</v>
      </c>
      <c r="D446" s="33" t="b">
        <v>1</v>
      </c>
      <c r="E446" s="59">
        <v>0.68</v>
      </c>
      <c r="F446" t="s">
        <v>18</v>
      </c>
      <c r="G446" s="20">
        <v>45969</v>
      </c>
    </row>
    <row r="447" spans="1:7" x14ac:dyDescent="0.25">
      <c r="A447" t="s">
        <v>83</v>
      </c>
      <c r="B447" t="s">
        <v>207</v>
      </c>
      <c r="C447">
        <v>-4.5</v>
      </c>
      <c r="D447" s="33" t="b">
        <v>1</v>
      </c>
      <c r="E447" s="59">
        <v>0.65749999999999997</v>
      </c>
      <c r="F447" t="s">
        <v>15</v>
      </c>
      <c r="G447" s="20">
        <v>45969</v>
      </c>
    </row>
    <row r="448" spans="1:7" x14ac:dyDescent="0.25">
      <c r="A448" t="s">
        <v>30</v>
      </c>
      <c r="B448" t="s">
        <v>222</v>
      </c>
      <c r="C448">
        <v>-2.5</v>
      </c>
      <c r="D448" s="33" t="b">
        <v>1</v>
      </c>
      <c r="E448" s="59">
        <v>0.64249999999999996</v>
      </c>
      <c r="F448" t="s">
        <v>15</v>
      </c>
      <c r="G448" s="20">
        <v>45969</v>
      </c>
    </row>
    <row r="449" spans="1:7" x14ac:dyDescent="0.25">
      <c r="A449" t="s">
        <v>75</v>
      </c>
      <c r="B449" t="s">
        <v>215</v>
      </c>
      <c r="C449">
        <v>-16.5</v>
      </c>
      <c r="D449" s="33" t="b">
        <v>1</v>
      </c>
      <c r="E449" s="59">
        <v>0.99750000000000005</v>
      </c>
      <c r="F449" t="s">
        <v>18</v>
      </c>
      <c r="G449" s="22">
        <v>45967</v>
      </c>
    </row>
    <row r="450" spans="1:7" x14ac:dyDescent="0.25">
      <c r="A450" t="s">
        <v>311</v>
      </c>
      <c r="B450" t="s">
        <v>244</v>
      </c>
      <c r="C450">
        <v>-37.5</v>
      </c>
      <c r="D450" s="33" t="b">
        <v>1</v>
      </c>
      <c r="E450" s="59">
        <v>0.99750000000000005</v>
      </c>
      <c r="F450" t="s">
        <v>18</v>
      </c>
      <c r="G450" s="22">
        <v>45967</v>
      </c>
    </row>
    <row r="451" spans="1:7" x14ac:dyDescent="0.25">
      <c r="A451" t="s">
        <v>39</v>
      </c>
      <c r="B451" t="s">
        <v>43</v>
      </c>
      <c r="C451">
        <v>-24</v>
      </c>
      <c r="D451" s="33" t="b">
        <v>1</v>
      </c>
      <c r="E451" s="59">
        <v>0.99750000000000005</v>
      </c>
      <c r="F451" t="s">
        <v>18</v>
      </c>
      <c r="G451" s="22">
        <v>45967</v>
      </c>
    </row>
    <row r="452" spans="1:7" x14ac:dyDescent="0.25">
      <c r="A452" t="s">
        <v>24</v>
      </c>
      <c r="B452" t="s">
        <v>119</v>
      </c>
      <c r="C452">
        <v>-27.5</v>
      </c>
      <c r="D452" s="33" t="b">
        <v>1</v>
      </c>
      <c r="E452" s="59">
        <v>0.99750000000000005</v>
      </c>
      <c r="F452" t="s">
        <v>18</v>
      </c>
      <c r="G452" s="22">
        <v>45967</v>
      </c>
    </row>
    <row r="453" spans="1:7" x14ac:dyDescent="0.25">
      <c r="A453" t="s">
        <v>225</v>
      </c>
      <c r="B453" t="s">
        <v>223</v>
      </c>
      <c r="C453">
        <v>-17</v>
      </c>
      <c r="D453" s="33" t="b">
        <v>1</v>
      </c>
      <c r="E453" s="59">
        <v>0.995</v>
      </c>
      <c r="F453" t="s">
        <v>15</v>
      </c>
      <c r="G453" s="22">
        <v>45967</v>
      </c>
    </row>
    <row r="454" spans="1:7" x14ac:dyDescent="0.25">
      <c r="A454" t="s">
        <v>312</v>
      </c>
      <c r="B454" t="s">
        <v>110</v>
      </c>
      <c r="C454">
        <v>-14.5</v>
      </c>
      <c r="D454" s="33" t="b">
        <v>1</v>
      </c>
      <c r="E454" s="59">
        <v>0.995</v>
      </c>
      <c r="F454" t="s">
        <v>18</v>
      </c>
      <c r="G454" s="22">
        <v>45967</v>
      </c>
    </row>
    <row r="455" spans="1:7" x14ac:dyDescent="0.25">
      <c r="A455" t="s">
        <v>206</v>
      </c>
      <c r="B455" t="s">
        <v>160</v>
      </c>
      <c r="C455">
        <v>-23.5</v>
      </c>
      <c r="D455" s="33" t="b">
        <v>1</v>
      </c>
      <c r="E455" s="59">
        <v>0.99250000000000005</v>
      </c>
      <c r="F455" t="s">
        <v>15</v>
      </c>
      <c r="G455" s="22">
        <v>45967</v>
      </c>
    </row>
    <row r="456" spans="1:7" x14ac:dyDescent="0.25">
      <c r="A456" t="s">
        <v>313</v>
      </c>
      <c r="B456" t="s">
        <v>314</v>
      </c>
      <c r="C456">
        <v>-7.5</v>
      </c>
      <c r="D456" s="33" t="b">
        <v>1</v>
      </c>
      <c r="E456" s="59">
        <v>0.9325</v>
      </c>
      <c r="F456" t="s">
        <v>18</v>
      </c>
      <c r="G456" s="22">
        <v>45967</v>
      </c>
    </row>
    <row r="457" spans="1:7" x14ac:dyDescent="0.25">
      <c r="A457" t="s">
        <v>199</v>
      </c>
      <c r="B457" t="s">
        <v>289</v>
      </c>
      <c r="C457">
        <v>-3.5</v>
      </c>
      <c r="D457" s="33" t="b">
        <v>1</v>
      </c>
      <c r="E457" s="59">
        <v>0.53</v>
      </c>
      <c r="F457" t="s">
        <v>18</v>
      </c>
      <c r="G457" s="22">
        <v>45967</v>
      </c>
    </row>
    <row r="458" spans="1:7" x14ac:dyDescent="0.25">
      <c r="A458" s="36" t="s">
        <v>188</v>
      </c>
      <c r="B458" s="36" t="s">
        <v>166</v>
      </c>
      <c r="C458" s="36">
        <v>-18.5</v>
      </c>
      <c r="D458" s="50" t="b">
        <v>1</v>
      </c>
      <c r="E458" s="61">
        <v>0.99750000000000005</v>
      </c>
      <c r="F458" t="s">
        <v>15</v>
      </c>
      <c r="G458" s="37">
        <v>45966</v>
      </c>
    </row>
    <row r="459" spans="1:7" x14ac:dyDescent="0.25">
      <c r="A459" s="36" t="s">
        <v>279</v>
      </c>
      <c r="B459" s="36" t="s">
        <v>201</v>
      </c>
      <c r="C459" s="36">
        <v>-17</v>
      </c>
      <c r="D459" s="50" t="b">
        <v>1</v>
      </c>
      <c r="E459" s="61">
        <v>0.995</v>
      </c>
      <c r="F459" t="s">
        <v>15</v>
      </c>
      <c r="G459" s="37">
        <v>45966</v>
      </c>
    </row>
    <row r="460" spans="1:7" x14ac:dyDescent="0.25">
      <c r="A460" s="36" t="s">
        <v>274</v>
      </c>
      <c r="B460" s="36" t="s">
        <v>258</v>
      </c>
      <c r="C460" s="36">
        <v>-30.5</v>
      </c>
      <c r="D460" s="50" t="b">
        <v>1</v>
      </c>
      <c r="E460" s="61">
        <v>0.99250000000000005</v>
      </c>
      <c r="F460" t="s">
        <v>15</v>
      </c>
      <c r="G460" s="37">
        <v>45966</v>
      </c>
    </row>
    <row r="461" spans="1:7" x14ac:dyDescent="0.25">
      <c r="A461" s="36" t="s">
        <v>275</v>
      </c>
      <c r="B461" s="36" t="s">
        <v>104</v>
      </c>
      <c r="C461" s="36">
        <v>-25</v>
      </c>
      <c r="D461" s="50" t="b">
        <v>1</v>
      </c>
      <c r="E461" s="61">
        <v>0.98750000000000004</v>
      </c>
      <c r="F461" t="s">
        <v>18</v>
      </c>
      <c r="G461" s="37">
        <v>45966</v>
      </c>
    </row>
    <row r="462" spans="1:7" x14ac:dyDescent="0.25">
      <c r="A462" s="36" t="s">
        <v>35</v>
      </c>
      <c r="B462" s="36" t="s">
        <v>128</v>
      </c>
      <c r="C462" s="36">
        <v>-29.5</v>
      </c>
      <c r="D462" s="50" t="b">
        <v>1</v>
      </c>
      <c r="E462" s="61">
        <v>0.97499999999999998</v>
      </c>
      <c r="F462" t="s">
        <v>18</v>
      </c>
      <c r="G462" s="37">
        <v>45966</v>
      </c>
    </row>
    <row r="463" spans="1:7" x14ac:dyDescent="0.25">
      <c r="A463" s="36" t="s">
        <v>280</v>
      </c>
      <c r="B463" s="36" t="s">
        <v>61</v>
      </c>
      <c r="C463" s="36">
        <v>-18</v>
      </c>
      <c r="D463" s="50" t="b">
        <v>1</v>
      </c>
      <c r="E463" s="61">
        <v>0.85</v>
      </c>
      <c r="F463" t="s">
        <v>15</v>
      </c>
      <c r="G463" s="37">
        <v>45966</v>
      </c>
    </row>
    <row r="464" spans="1:7" x14ac:dyDescent="0.25">
      <c r="A464" s="40" t="s">
        <v>235</v>
      </c>
      <c r="B464" s="40" t="s">
        <v>126</v>
      </c>
      <c r="C464" s="40">
        <v>-29</v>
      </c>
      <c r="D464" s="43" t="b">
        <v>1</v>
      </c>
      <c r="E464" s="60">
        <v>1</v>
      </c>
      <c r="F464" t="s">
        <v>15</v>
      </c>
      <c r="G464" s="41">
        <v>45964</v>
      </c>
    </row>
    <row r="465" spans="1:7" x14ac:dyDescent="0.25">
      <c r="A465" s="40" t="s">
        <v>182</v>
      </c>
      <c r="B465" s="40" t="s">
        <v>58</v>
      </c>
      <c r="C465" s="40">
        <v>-24.5</v>
      </c>
      <c r="D465" s="43" t="b">
        <v>1</v>
      </c>
      <c r="E465" s="60">
        <v>1</v>
      </c>
      <c r="F465" t="s">
        <v>15</v>
      </c>
      <c r="G465" s="41">
        <v>45964</v>
      </c>
    </row>
    <row r="466" spans="1:7" x14ac:dyDescent="0.25">
      <c r="A466" s="40" t="s">
        <v>108</v>
      </c>
      <c r="B466" s="40" t="s">
        <v>205</v>
      </c>
      <c r="C466" s="40">
        <v>-25</v>
      </c>
      <c r="D466" s="43" t="b">
        <v>1</v>
      </c>
      <c r="E466" s="60">
        <v>1</v>
      </c>
      <c r="F466" t="s">
        <v>15</v>
      </c>
      <c r="G466" s="41">
        <v>45964</v>
      </c>
    </row>
    <row r="467" spans="1:7" x14ac:dyDescent="0.25">
      <c r="A467" s="40" t="s">
        <v>188</v>
      </c>
      <c r="B467" s="40" t="s">
        <v>221</v>
      </c>
      <c r="C467" s="40">
        <v>-25</v>
      </c>
      <c r="D467" s="43" t="b">
        <v>1</v>
      </c>
      <c r="E467" s="60">
        <v>1</v>
      </c>
      <c r="F467" t="s">
        <v>15</v>
      </c>
      <c r="G467" s="41">
        <v>45964</v>
      </c>
    </row>
    <row r="468" spans="1:7" x14ac:dyDescent="0.25">
      <c r="A468" s="40" t="s">
        <v>25</v>
      </c>
      <c r="B468" s="40" t="s">
        <v>113</v>
      </c>
      <c r="C468" s="40">
        <v>-31.5</v>
      </c>
      <c r="D468" s="43" t="b">
        <v>1</v>
      </c>
      <c r="E468" s="60">
        <v>0.99750000000000005</v>
      </c>
      <c r="F468" t="s">
        <v>18</v>
      </c>
      <c r="G468" s="41">
        <v>45964</v>
      </c>
    </row>
    <row r="469" spans="1:7" x14ac:dyDescent="0.25">
      <c r="A469" s="40" t="s">
        <v>131</v>
      </c>
      <c r="B469" s="40" t="s">
        <v>281</v>
      </c>
      <c r="C469" s="40">
        <v>-16</v>
      </c>
      <c r="D469" s="43" t="b">
        <v>1</v>
      </c>
      <c r="E469" s="60">
        <v>0.99750000000000005</v>
      </c>
      <c r="F469" t="s">
        <v>52</v>
      </c>
      <c r="G469" s="41">
        <v>45964</v>
      </c>
    </row>
    <row r="470" spans="1:7" x14ac:dyDescent="0.25">
      <c r="A470" s="40" t="s">
        <v>232</v>
      </c>
      <c r="B470" s="40" t="s">
        <v>186</v>
      </c>
      <c r="C470" s="40">
        <v>-23</v>
      </c>
      <c r="D470" s="43" t="b">
        <v>1</v>
      </c>
      <c r="E470" s="60">
        <v>0.995</v>
      </c>
      <c r="F470" t="s">
        <v>15</v>
      </c>
      <c r="G470" s="41">
        <v>45964</v>
      </c>
    </row>
    <row r="471" spans="1:7" x14ac:dyDescent="0.25">
      <c r="A471" s="40" t="s">
        <v>75</v>
      </c>
      <c r="B471" s="40" t="s">
        <v>66</v>
      </c>
      <c r="C471" s="40">
        <v>-20</v>
      </c>
      <c r="D471" s="43" t="b">
        <v>1</v>
      </c>
      <c r="E471" s="60">
        <v>0.995</v>
      </c>
      <c r="F471" t="s">
        <v>15</v>
      </c>
      <c r="G471" s="41">
        <v>45964</v>
      </c>
    </row>
    <row r="472" spans="1:7" x14ac:dyDescent="0.25">
      <c r="A472" s="40" t="s">
        <v>282</v>
      </c>
      <c r="B472" s="40" t="s">
        <v>130</v>
      </c>
      <c r="C472" s="40">
        <v>-14.5</v>
      </c>
      <c r="D472" s="43" t="b">
        <v>1</v>
      </c>
      <c r="E472" s="60">
        <v>0.995</v>
      </c>
      <c r="F472" t="s">
        <v>15</v>
      </c>
      <c r="G472" s="41">
        <v>45964</v>
      </c>
    </row>
    <row r="473" spans="1:7" x14ac:dyDescent="0.25">
      <c r="A473" s="40" t="s">
        <v>247</v>
      </c>
      <c r="B473" s="40" t="s">
        <v>219</v>
      </c>
      <c r="C473" s="40">
        <v>-13.5</v>
      </c>
      <c r="D473" s="43" t="b">
        <v>1</v>
      </c>
      <c r="E473" s="60">
        <v>0.995</v>
      </c>
      <c r="F473" t="s">
        <v>15</v>
      </c>
      <c r="G473" s="41">
        <v>45964</v>
      </c>
    </row>
    <row r="474" spans="1:7" x14ac:dyDescent="0.25">
      <c r="A474" s="40" t="s">
        <v>187</v>
      </c>
      <c r="B474" s="40" t="s">
        <v>283</v>
      </c>
      <c r="C474" s="40">
        <v>-16</v>
      </c>
      <c r="D474" s="43" t="b">
        <v>1</v>
      </c>
      <c r="E474" s="60">
        <v>0.99250000000000005</v>
      </c>
      <c r="F474" t="s">
        <v>18</v>
      </c>
      <c r="G474" s="41">
        <v>45964</v>
      </c>
    </row>
    <row r="475" spans="1:7" x14ac:dyDescent="0.25">
      <c r="A475" s="40" t="s">
        <v>107</v>
      </c>
      <c r="B475" s="40" t="s">
        <v>284</v>
      </c>
      <c r="C475" s="40">
        <v>-20.5</v>
      </c>
      <c r="D475" s="43" t="b">
        <v>1</v>
      </c>
      <c r="E475" s="60">
        <v>0.99250000000000005</v>
      </c>
      <c r="F475" t="s">
        <v>18</v>
      </c>
      <c r="G475" s="41">
        <v>45964</v>
      </c>
    </row>
    <row r="476" spans="1:7" x14ac:dyDescent="0.25">
      <c r="A476" s="40" t="s">
        <v>285</v>
      </c>
      <c r="B476" s="40" t="s">
        <v>81</v>
      </c>
      <c r="C476" s="40">
        <v>-13</v>
      </c>
      <c r="D476" s="43" t="b">
        <v>1</v>
      </c>
      <c r="E476" s="60">
        <v>0.99250000000000005</v>
      </c>
      <c r="F476" t="s">
        <v>18</v>
      </c>
      <c r="G476" s="41">
        <v>45964</v>
      </c>
    </row>
    <row r="477" spans="1:7" x14ac:dyDescent="0.25">
      <c r="A477" s="40" t="s">
        <v>286</v>
      </c>
      <c r="B477" s="40" t="s">
        <v>203</v>
      </c>
      <c r="C477" s="40">
        <v>-12.5</v>
      </c>
      <c r="D477" s="43" t="b">
        <v>1</v>
      </c>
      <c r="E477" s="60">
        <v>0.99</v>
      </c>
      <c r="F477" t="s">
        <v>18</v>
      </c>
      <c r="G477" s="41">
        <v>45964</v>
      </c>
    </row>
    <row r="478" spans="1:7" x14ac:dyDescent="0.25">
      <c r="A478" s="40" t="s">
        <v>287</v>
      </c>
      <c r="B478" s="40" t="s">
        <v>288</v>
      </c>
      <c r="C478" s="40">
        <v>-13.5</v>
      </c>
      <c r="D478" s="43" t="b">
        <v>1</v>
      </c>
      <c r="E478" s="60">
        <v>0.98499999999999999</v>
      </c>
      <c r="F478" t="s">
        <v>15</v>
      </c>
      <c r="G478" s="41">
        <v>45964</v>
      </c>
    </row>
    <row r="479" spans="1:7" x14ac:dyDescent="0.25">
      <c r="A479" s="40" t="s">
        <v>184</v>
      </c>
      <c r="B479" s="40" t="s">
        <v>57</v>
      </c>
      <c r="C479" s="40">
        <v>-15.5</v>
      </c>
      <c r="D479" s="43" t="b">
        <v>1</v>
      </c>
      <c r="E479" s="60">
        <v>0.98250000000000004</v>
      </c>
      <c r="F479" t="s">
        <v>15</v>
      </c>
      <c r="G479" s="41">
        <v>45964</v>
      </c>
    </row>
    <row r="480" spans="1:7" x14ac:dyDescent="0.25">
      <c r="A480" s="40" t="s">
        <v>49</v>
      </c>
      <c r="B480" s="40" t="s">
        <v>77</v>
      </c>
      <c r="C480" s="40">
        <v>-28</v>
      </c>
      <c r="D480" s="43" t="b">
        <v>1</v>
      </c>
      <c r="E480" s="60">
        <v>0.97750000000000004</v>
      </c>
      <c r="F480" t="s">
        <v>18</v>
      </c>
      <c r="G480" s="41">
        <v>45964</v>
      </c>
    </row>
    <row r="481" spans="1:7" x14ac:dyDescent="0.25">
      <c r="A481" s="40" t="s">
        <v>178</v>
      </c>
      <c r="B481" s="40" t="s">
        <v>204</v>
      </c>
      <c r="C481" s="40">
        <v>-11</v>
      </c>
      <c r="D481" s="43" t="b">
        <v>1</v>
      </c>
      <c r="E481" s="60">
        <v>0.97750000000000004</v>
      </c>
      <c r="F481" t="s">
        <v>18</v>
      </c>
      <c r="G481" s="41">
        <v>45964</v>
      </c>
    </row>
    <row r="482" spans="1:7" x14ac:dyDescent="0.25">
      <c r="A482" s="40" t="s">
        <v>159</v>
      </c>
      <c r="B482" s="40" t="s">
        <v>64</v>
      </c>
      <c r="C482" s="40">
        <v>-7.5</v>
      </c>
      <c r="D482" s="43" t="b">
        <v>1</v>
      </c>
      <c r="E482" s="60">
        <v>0.97499999999999998</v>
      </c>
      <c r="F482" t="s">
        <v>15</v>
      </c>
      <c r="G482" s="41">
        <v>45964</v>
      </c>
    </row>
    <row r="483" spans="1:7" x14ac:dyDescent="0.25">
      <c r="A483" s="40" t="s">
        <v>234</v>
      </c>
      <c r="B483" s="40" t="s">
        <v>254</v>
      </c>
      <c r="C483" s="40">
        <v>-9.5</v>
      </c>
      <c r="D483" s="43" t="b">
        <v>1</v>
      </c>
      <c r="E483" s="60">
        <v>0.97250000000000003</v>
      </c>
      <c r="F483" t="s">
        <v>15</v>
      </c>
      <c r="G483" s="41">
        <v>45964</v>
      </c>
    </row>
    <row r="484" spans="1:7" x14ac:dyDescent="0.25">
      <c r="A484" s="40" t="s">
        <v>289</v>
      </c>
      <c r="B484" s="40" t="s">
        <v>290</v>
      </c>
      <c r="C484" s="40">
        <v>-31</v>
      </c>
      <c r="D484" s="43" t="b">
        <v>1</v>
      </c>
      <c r="E484" s="60">
        <v>0.96750000000000003</v>
      </c>
      <c r="F484" t="s">
        <v>18</v>
      </c>
      <c r="G484" s="41">
        <v>45964</v>
      </c>
    </row>
    <row r="485" spans="1:7" x14ac:dyDescent="0.25">
      <c r="A485" s="40" t="s">
        <v>183</v>
      </c>
      <c r="B485" s="40" t="s">
        <v>43</v>
      </c>
      <c r="C485" s="40">
        <v>-11</v>
      </c>
      <c r="D485" s="43" t="b">
        <v>1</v>
      </c>
      <c r="E485" s="60">
        <v>0.95250000000000001</v>
      </c>
      <c r="F485" t="s">
        <v>18</v>
      </c>
      <c r="G485" s="41">
        <v>45964</v>
      </c>
    </row>
    <row r="486" spans="1:7" x14ac:dyDescent="0.25">
      <c r="A486" s="40" t="s">
        <v>212</v>
      </c>
      <c r="B486" s="40" t="s">
        <v>248</v>
      </c>
      <c r="C486" s="40">
        <v>-6.5</v>
      </c>
      <c r="D486" s="43" t="b">
        <v>1</v>
      </c>
      <c r="E486" s="60">
        <v>0.87749999999999995</v>
      </c>
      <c r="F486" t="s">
        <v>15</v>
      </c>
      <c r="G486" s="41">
        <v>45964</v>
      </c>
    </row>
    <row r="487" spans="1:7" x14ac:dyDescent="0.25">
      <c r="A487" s="40" t="s">
        <v>24</v>
      </c>
      <c r="B487" s="40" t="s">
        <v>197</v>
      </c>
      <c r="C487" s="40">
        <v>-11.5</v>
      </c>
      <c r="D487" s="43" t="b">
        <v>1</v>
      </c>
      <c r="E487" s="60">
        <v>0.86250000000000004</v>
      </c>
      <c r="F487" t="s">
        <v>18</v>
      </c>
      <c r="G487" s="41">
        <v>45964</v>
      </c>
    </row>
    <row r="488" spans="1:7" x14ac:dyDescent="0.25">
      <c r="A488" s="40" t="s">
        <v>291</v>
      </c>
      <c r="B488" s="40" t="s">
        <v>292</v>
      </c>
      <c r="C488" s="40">
        <v>-8</v>
      </c>
      <c r="D488" s="43" t="b">
        <v>1</v>
      </c>
      <c r="E488" s="60">
        <v>0.84250000000000003</v>
      </c>
      <c r="F488" t="s">
        <v>18</v>
      </c>
      <c r="G488" s="41">
        <v>45964</v>
      </c>
    </row>
    <row r="489" spans="1:7" x14ac:dyDescent="0.25">
      <c r="A489" s="40" t="s">
        <v>175</v>
      </c>
      <c r="B489" s="40" t="s">
        <v>293</v>
      </c>
      <c r="C489" s="40">
        <v>-3.5</v>
      </c>
      <c r="D489" s="43" t="b">
        <v>1</v>
      </c>
      <c r="E489" s="60">
        <v>0.755</v>
      </c>
      <c r="F489" t="s">
        <v>18</v>
      </c>
      <c r="G489" s="41">
        <v>45964</v>
      </c>
    </row>
    <row r="490" spans="1:7" x14ac:dyDescent="0.25">
      <c r="A490" s="40" t="s">
        <v>294</v>
      </c>
      <c r="B490" s="40" t="s">
        <v>249</v>
      </c>
      <c r="C490" s="40">
        <v>-3.5</v>
      </c>
      <c r="D490" s="43" t="b">
        <v>1</v>
      </c>
      <c r="E490" s="60">
        <v>0.67749999999999999</v>
      </c>
      <c r="F490" t="s">
        <v>18</v>
      </c>
      <c r="G490" s="41">
        <v>45964</v>
      </c>
    </row>
    <row r="491" spans="1:7" x14ac:dyDescent="0.25">
      <c r="A491" s="40" t="s">
        <v>213</v>
      </c>
      <c r="B491" s="40" t="s">
        <v>250</v>
      </c>
      <c r="C491" s="40">
        <v>-4.5</v>
      </c>
      <c r="D491" s="43" t="b">
        <v>1</v>
      </c>
      <c r="E491" s="60">
        <v>0.66500000000000004</v>
      </c>
      <c r="F491" t="s">
        <v>18</v>
      </c>
      <c r="G491" s="41">
        <v>45964</v>
      </c>
    </row>
    <row r="492" spans="1:7" x14ac:dyDescent="0.25">
      <c r="A492" s="40" t="s">
        <v>223</v>
      </c>
      <c r="B492" s="40" t="s">
        <v>262</v>
      </c>
      <c r="C492" s="40">
        <v>-1.5</v>
      </c>
      <c r="D492" s="43" t="b">
        <v>1</v>
      </c>
      <c r="E492" s="60">
        <v>0.64749999999999996</v>
      </c>
      <c r="F492" t="s">
        <v>15</v>
      </c>
      <c r="G492" s="41">
        <v>45964</v>
      </c>
    </row>
    <row r="493" spans="1:7" x14ac:dyDescent="0.25">
      <c r="A493" s="40" t="s">
        <v>208</v>
      </c>
      <c r="B493" s="40" t="s">
        <v>233</v>
      </c>
      <c r="C493" s="40">
        <v>-5.5</v>
      </c>
      <c r="D493" s="43" t="b">
        <v>1</v>
      </c>
      <c r="E493" s="60">
        <v>0.64</v>
      </c>
      <c r="F493" t="s">
        <v>18</v>
      </c>
      <c r="G493" s="41">
        <v>45964</v>
      </c>
    </row>
    <row r="494" spans="1:7" x14ac:dyDescent="0.25">
      <c r="A494" s="40" t="s">
        <v>174</v>
      </c>
      <c r="B494" s="40" t="s">
        <v>295</v>
      </c>
      <c r="C494" s="40">
        <v>-2.5</v>
      </c>
      <c r="D494" s="43" t="b">
        <v>0</v>
      </c>
      <c r="E494" s="60">
        <v>0.6</v>
      </c>
      <c r="F494" t="s">
        <v>18</v>
      </c>
      <c r="G494" s="41">
        <v>45964</v>
      </c>
    </row>
    <row r="495" spans="1:7" x14ac:dyDescent="0.25">
      <c r="A495" s="40" t="s">
        <v>44</v>
      </c>
      <c r="B495" s="40" t="s">
        <v>35</v>
      </c>
      <c r="C495" s="40">
        <v>-2.5</v>
      </c>
      <c r="D495" s="43" t="b">
        <v>1</v>
      </c>
      <c r="E495" s="60">
        <v>0.58250000000000002</v>
      </c>
      <c r="F495" t="s">
        <v>18</v>
      </c>
      <c r="G495" s="41">
        <v>45964</v>
      </c>
    </row>
    <row r="496" spans="1:7" x14ac:dyDescent="0.25">
      <c r="A496" s="40" t="s">
        <v>296</v>
      </c>
      <c r="B496" s="40" t="s">
        <v>97</v>
      </c>
      <c r="C496" s="40">
        <v>-3</v>
      </c>
      <c r="D496" s="43" t="b">
        <v>0</v>
      </c>
      <c r="E496" s="60">
        <v>0.55000000000000004</v>
      </c>
      <c r="F496" t="s">
        <v>18</v>
      </c>
      <c r="G496" s="41">
        <v>45964</v>
      </c>
    </row>
    <row r="497" spans="1:7" x14ac:dyDescent="0.25">
      <c r="A497" s="40" t="s">
        <v>297</v>
      </c>
      <c r="B497" s="40" t="s">
        <v>272</v>
      </c>
      <c r="C497" s="40">
        <v>-1.5</v>
      </c>
      <c r="D497" s="43" t="b">
        <v>0</v>
      </c>
      <c r="E497" s="60">
        <v>0.54</v>
      </c>
      <c r="F497" t="s">
        <v>18</v>
      </c>
      <c r="G497" s="41">
        <v>45964</v>
      </c>
    </row>
  </sheetData>
  <mergeCells count="2">
    <mergeCell ref="J1:O1"/>
    <mergeCell ref="Q1:U1"/>
  </mergeCells>
  <conditionalFormatting sqref="H2:H265 K3:L15">
    <cfRule type="cellIs" dxfId="124" priority="20" operator="greaterThan">
      <formula>0.75</formula>
    </cfRule>
    <cfRule type="cellIs" dxfId="123" priority="21" operator="greaterThan">
      <formula>0.5</formula>
    </cfRule>
    <cfRule type="cellIs" dxfId="122" priority="22" operator="lessThanOrEqual">
      <formula>0.25</formula>
    </cfRule>
    <cfRule type="cellIs" dxfId="121" priority="23" operator="lessThan">
      <formula>0.5</formula>
    </cfRule>
  </conditionalFormatting>
  <conditionalFormatting sqref="K3">
    <cfRule type="expression" dxfId="120" priority="13">
      <formula>$L$3&gt;0.5</formula>
    </cfRule>
    <cfRule type="expression" dxfId="119" priority="14">
      <formula>$L$3&lt;0.5</formula>
    </cfRule>
  </conditionalFormatting>
  <conditionalFormatting sqref="K4">
    <cfRule type="expression" dxfId="118" priority="12">
      <formula>$L$4&lt;0.5</formula>
    </cfRule>
  </conditionalFormatting>
  <conditionalFormatting sqref="K5">
    <cfRule type="expression" dxfId="117" priority="11">
      <formula>$L$5&lt;0.5</formula>
    </cfRule>
  </conditionalFormatting>
  <conditionalFormatting sqref="K6">
    <cfRule type="expression" dxfId="116" priority="10">
      <formula>$L$6&lt;0.5</formula>
    </cfRule>
  </conditionalFormatting>
  <conditionalFormatting sqref="K7">
    <cfRule type="expression" dxfId="115" priority="9">
      <formula>$L$7&lt;0.5</formula>
    </cfRule>
  </conditionalFormatting>
  <conditionalFormatting sqref="K8">
    <cfRule type="expression" dxfId="114" priority="8">
      <formula>$L$8&lt;0.5</formula>
    </cfRule>
  </conditionalFormatting>
  <conditionalFormatting sqref="K9">
    <cfRule type="expression" dxfId="113" priority="7">
      <formula>$L$9&lt;0.5</formula>
    </cfRule>
  </conditionalFormatting>
  <conditionalFormatting sqref="K10">
    <cfRule type="expression" dxfId="112" priority="6">
      <formula>$L$10&lt;0.5</formula>
    </cfRule>
  </conditionalFormatting>
  <conditionalFormatting sqref="K11">
    <cfRule type="expression" dxfId="111" priority="5">
      <formula>$L$11&lt;0.5</formula>
    </cfRule>
  </conditionalFormatting>
  <conditionalFormatting sqref="K12">
    <cfRule type="expression" dxfId="110" priority="4">
      <formula>$L$12&lt;0.5</formula>
    </cfRule>
  </conditionalFormatting>
  <conditionalFormatting sqref="K13">
    <cfRule type="expression" dxfId="109" priority="3">
      <formula>$L$13&lt;0.5</formula>
    </cfRule>
  </conditionalFormatting>
  <conditionalFormatting sqref="K14">
    <cfRule type="expression" dxfId="108" priority="2">
      <formula>$L$14&lt;0.5</formula>
    </cfRule>
  </conditionalFormatting>
  <conditionalFormatting sqref="K15">
    <cfRule type="expression" dxfId="107" priority="1">
      <formula>$L$15&lt;0.5</formula>
    </cfRule>
  </conditionalFormatting>
  <conditionalFormatting sqref="K3:L15 H2:H265">
    <cfRule type="containsText" dxfId="106" priority="19" operator="containsText" text="NA">
      <formula>NOT(ISERROR(SEARCH("NA",H2)))</formula>
    </cfRule>
  </conditionalFormatting>
  <conditionalFormatting sqref="K3:L15">
    <cfRule type="cellIs" dxfId="105" priority="107" operator="greaterThan">
      <formula>0.5</formula>
    </cfRule>
    <cfRule type="cellIs" dxfId="104" priority="109" operator="lessThan">
      <formula>0.5</formula>
    </cfRule>
  </conditionalFormatting>
  <conditionalFormatting sqref="L3:L15">
    <cfRule type="cellIs" dxfId="103" priority="108" operator="lessThanOrEqual">
      <formula>0.25</formula>
    </cfRule>
    <cfRule type="cellIs" dxfId="102" priority="106" operator="greaterThan">
      <formula>0.75</formula>
    </cfRule>
    <cfRule type="containsText" dxfId="101" priority="105" operator="containsText" text="NA">
      <formula>NOT(ISERROR(SEARCH("NA",L3)))</formula>
    </cfRule>
    <cfRule type="expression" dxfId="100" priority="83">
      <formula>"(L2&gt;.75)"</formula>
    </cfRule>
  </conditionalFormatting>
  <conditionalFormatting sqref="O3:O16">
    <cfRule type="cellIs" dxfId="99" priority="49" operator="greaterThan">
      <formula>10</formula>
    </cfRule>
    <cfRule type="cellIs" dxfId="98" priority="50" operator="greaterThan">
      <formula>0</formula>
    </cfRule>
    <cfRule type="cellIs" dxfId="97" priority="51" operator="lessThan">
      <formula>0</formula>
    </cfRule>
  </conditionalFormatting>
  <conditionalFormatting sqref="R3">
    <cfRule type="expression" dxfId="96" priority="53">
      <formula>"K2 = L2"</formula>
    </cfRule>
  </conditionalFormatting>
  <conditionalFormatting sqref="R3:R4">
    <cfRule type="cellIs" dxfId="95" priority="60" operator="greaterThan">
      <formula>0.75</formula>
    </cfRule>
    <cfRule type="containsText" dxfId="94" priority="59" operator="containsText" text="NA">
      <formula>NOT(ISERROR(SEARCH("NA",R3)))</formula>
    </cfRule>
    <cfRule type="cellIs" dxfId="93" priority="61" operator="greaterThan">
      <formula>0.5</formula>
    </cfRule>
    <cfRule type="cellIs" dxfId="92" priority="62" operator="lessThanOrEqual">
      <formula>0.25</formula>
    </cfRule>
    <cfRule type="cellIs" dxfId="91" priority="63" operator="lessThan">
      <formula>0.5</formula>
    </cfRule>
  </conditionalFormatting>
  <conditionalFormatting sqref="R7">
    <cfRule type="containsText" dxfId="90" priority="64" operator="containsText" text="NA">
      <formula>NOT(ISERROR(SEARCH("NA",R7)))</formula>
    </cfRule>
    <cfRule type="cellIs" dxfId="89" priority="65" operator="greaterThan">
      <formula>0.75</formula>
    </cfRule>
    <cfRule type="cellIs" dxfId="88" priority="66" operator="greaterThan">
      <formula>0.5</formula>
    </cfRule>
    <cfRule type="cellIs" dxfId="87" priority="67" operator="lessThanOrEqual">
      <formula>0.25</formula>
    </cfRule>
    <cfRule type="cellIs" dxfId="86" priority="68" operator="lessThan">
      <formula>0.5</formula>
    </cfRule>
  </conditionalFormatting>
  <conditionalFormatting sqref="R10 R12 R14">
    <cfRule type="cellIs" dxfId="85" priority="58" operator="lessThan">
      <formula>0.5</formula>
    </cfRule>
    <cfRule type="containsText" dxfId="84" priority="54" operator="containsText" text="NA">
      <formula>NOT(ISERROR(SEARCH("NA",R10)))</formula>
    </cfRule>
    <cfRule type="cellIs" dxfId="83" priority="55" operator="greaterThan">
      <formula>0.75</formula>
    </cfRule>
    <cfRule type="cellIs" dxfId="82" priority="56" operator="greaterThan">
      <formula>0.5</formula>
    </cfRule>
    <cfRule type="cellIs" dxfId="81" priority="57" operator="lessThanOrEqual">
      <formula>0.25</formula>
    </cfRule>
  </conditionalFormatting>
  <conditionalFormatting sqref="R17">
    <cfRule type="cellIs" dxfId="80" priority="37" operator="greaterThan">
      <formula>0.5</formula>
    </cfRule>
    <cfRule type="cellIs" dxfId="79" priority="39" operator="lessThan">
      <formula>0.5</formula>
    </cfRule>
    <cfRule type="cellIs" dxfId="78" priority="38" operator="lessThanOrEqual">
      <formula>0.25</formula>
    </cfRule>
    <cfRule type="cellIs" dxfId="77" priority="36" operator="greaterThan">
      <formula>0.75</formula>
    </cfRule>
    <cfRule type="containsText" dxfId="76" priority="35" operator="containsText" text="NA">
      <formula>NOT(ISERROR(SEARCH("NA",R17)))</formula>
    </cfRule>
    <cfRule type="expression" dxfId="75" priority="34">
      <formula>"K2 = L2"</formula>
    </cfRule>
  </conditionalFormatting>
  <conditionalFormatting sqref="S3:S15">
    <cfRule type="expression" dxfId="74" priority="52">
      <formula>"(L2&gt;.75)"</formula>
    </cfRule>
    <cfRule type="containsText" dxfId="73" priority="69" operator="containsText" text="NA">
      <formula>NOT(ISERROR(SEARCH("NA",S3)))</formula>
    </cfRule>
    <cfRule type="cellIs" dxfId="72" priority="70" operator="greaterThan">
      <formula>0.75</formula>
    </cfRule>
    <cfRule type="cellIs" dxfId="71" priority="71" operator="greaterThan">
      <formula>0.5</formula>
    </cfRule>
    <cfRule type="cellIs" dxfId="70" priority="72" operator="lessThanOrEqual">
      <formula>0.25</formula>
    </cfRule>
    <cfRule type="cellIs" dxfId="69" priority="73" operator="lessThan">
      <formula>0.5</formula>
    </cfRule>
  </conditionalFormatting>
  <conditionalFormatting sqref="U3:U15">
    <cfRule type="cellIs" dxfId="68" priority="74" operator="greaterThan">
      <formula>10</formula>
    </cfRule>
    <cfRule type="cellIs" dxfId="67" priority="76" operator="lessThan">
      <formula>0</formula>
    </cfRule>
    <cfRule type="cellIs" dxfId="66" priority="75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4453-BD1F-1043-9858-6ABA774D81EF}">
  <sheetPr codeName="Sheet3"/>
  <dimension ref="B1:P13"/>
  <sheetViews>
    <sheetView showGridLines="0" zoomScaleNormal="100" workbookViewId="0">
      <selection activeCell="E14" sqref="E14"/>
    </sheetView>
  </sheetViews>
  <sheetFormatPr defaultColWidth="11" defaultRowHeight="15.75" x14ac:dyDescent="0.25"/>
  <cols>
    <col min="1" max="1" width="3.25" customWidth="1"/>
    <col min="2" max="2" width="33" bestFit="1" customWidth="1"/>
    <col min="3" max="4" width="14.875" bestFit="1" customWidth="1"/>
    <col min="5" max="16" width="12" customWidth="1"/>
  </cols>
  <sheetData>
    <row r="1" spans="2:16" ht="28.5" x14ac:dyDescent="0.25">
      <c r="B1" s="3" t="s">
        <v>341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6" ht="24" x14ac:dyDescent="0.25">
      <c r="B2" s="19" t="str">
        <f>16+COUNTIF(Games!M:M, "Y")&amp;"-"&amp; COUNTIF(Games!M:M, "N")-16</f>
        <v>176-136</v>
      </c>
      <c r="C2" s="35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6" ht="35.1" customHeight="1" x14ac:dyDescent="0.25">
      <c r="B3" s="19">
        <f>IFERROR((16+COUNTIF(Games!M:M,"Y"))/(16+COUNTIF(Games!M:M,"Y")+COUNTIF(Games!M:M,"N")-16),"NA")</f>
        <v>0.5641025641025641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6" ht="14.1" customHeight="1" thickBot="1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6" ht="24.75" thickBot="1" x14ac:dyDescent="0.3">
      <c r="C5" s="28">
        <v>1</v>
      </c>
      <c r="D5" s="5" t="s">
        <v>278</v>
      </c>
      <c r="E5" s="6" t="s">
        <v>135</v>
      </c>
      <c r="F5" s="6" t="s">
        <v>136</v>
      </c>
      <c r="G5" s="6" t="s">
        <v>137</v>
      </c>
      <c r="H5" s="6" t="s">
        <v>138</v>
      </c>
      <c r="I5" s="6" t="s">
        <v>139</v>
      </c>
      <c r="J5" s="6" t="s">
        <v>140</v>
      </c>
      <c r="K5" s="6" t="s">
        <v>141</v>
      </c>
      <c r="L5" s="6" t="s">
        <v>142</v>
      </c>
      <c r="M5" s="6" t="s">
        <v>143</v>
      </c>
      <c r="N5" s="6" t="s">
        <v>144</v>
      </c>
      <c r="O5" s="7" t="s">
        <v>145</v>
      </c>
    </row>
    <row r="6" spans="2:16" ht="24" x14ac:dyDescent="0.25">
      <c r="C6" s="8" t="str">
        <f>COUNTIFS(Games!E:E,1,Games!M:M,"Y") &amp; "-" &amp; COUNTIFS(Games!E:E,1,Games!M:M,"N")</f>
        <v>8-2</v>
      </c>
      <c r="D6" s="8" t="str">
        <f>COUNTIFS(Games!E:E,"&gt;=.99",Games!E:E,"&lt;1",Games!M:M,"Y") &amp; "-" &amp; COUNTIFS(Games!E:E,"&gt;=.99",Games!E:E,"&lt;1",Games!M:M,"N")</f>
        <v>17-13</v>
      </c>
      <c r="E6" s="8" t="str">
        <f>COUNTIFS(Games!E:E,"&gt;=0.95",Games!M:M,"Y",Games!E:E, "&lt;0.99",Games!M:M,"Y") &amp; "-" &amp; COUNTIFS(Games!E:E,"&gt;=0.95",Games!M:M,"N",Games!E:E, "&lt;0.99",Games!M:M,"N")</f>
        <v>21-21</v>
      </c>
      <c r="F6" s="16" t="str">
        <f>COUNTIFS(Games!E:E,"&gt;=0.93",Games!M:M,"Y",Games!E:E, "&lt;0.95",Games!M:M,"Y") &amp; "-" &amp; COUNTIFS(Games!E:E,"&gt;=0.93",Games!M:M,"N",Games!E:E, "&lt;0.95",Games!M:M,"N")</f>
        <v>9-12</v>
      </c>
      <c r="G6" s="8" t="str">
        <f>COUNTIFS(Games!E:E,"&gt;=0.9",Games!M:M,"Y",Games!E:E, "&lt;0.93",Games!M:M,"Y") &amp; "-" &amp; COUNTIFS(Games!E:E,"&gt;=0.9",Games!M:M,"N",Games!E:E, "&lt;0.93",Games!M:M,"N")</f>
        <v>11-5</v>
      </c>
      <c r="H6" s="8" t="str">
        <f>COUNTIFS(Games!E:E,"&gt;=0.85",Games!M:M,"Y",Games!E:E, "&lt;0.9",Games!M:M,"Y") &amp; "-" &amp; COUNTIFS(Games!E:E,"&gt;=0.85",Games!M:M,"N",Games!E:E, "&lt;0.9",Games!M:M,"N")</f>
        <v>12-28</v>
      </c>
      <c r="I6" s="8" t="str">
        <f>COUNTIFS(Games!E:E,"&gt;=0.8",Games!M:M,"Y",Games!E:E, "&lt;0.85",Games!M:M,"Y") &amp; "-" &amp; COUNTIFS(Games!E:E,"&gt;=0.8",Games!M:M,"N",Games!E:E, "&lt;0.85",Games!M:M,"N")</f>
        <v>17-19</v>
      </c>
      <c r="J6" s="8" t="str">
        <f>COUNTIFS(Games!E:E,"&gt;=0.75",Games!M:M,"Y",Games!E:E, "&lt;0.8",Games!M:M,"Y") &amp; "-" &amp; COUNTIFS(Games!E:E,"&gt;=0.75",Games!M:M,"N",Games!E:E, "&lt;0.8",Games!M:M,"N")</f>
        <v>8-5</v>
      </c>
      <c r="K6" s="8" t="str">
        <f>COUNTIFS(Games!E:E,"&gt;=0.7",Games!M:M,"Y",Games!E:E, "&lt;0.75",Games!M:M,"Y") &amp; "-" &amp; COUNTIFS(Games!E:E,"&gt;=0.7",Games!M:M,"N",Games!E:E, "&lt;0.75",Games!M:M,"N")</f>
        <v>9-11</v>
      </c>
      <c r="L6" s="8" t="str">
        <f>COUNTIFS(Games!E:E,"&gt;=0.65",Games!M:M,"Y",Games!E:E, "&lt;0.7",Games!M:M,"Y") &amp; "-" &amp; COUNTIFS(Games!E:E,"&gt;=0.65",Games!M:M,"N",Games!E:E, "&lt;0.7",Games!M:M,"N")</f>
        <v>16-6</v>
      </c>
      <c r="M6" s="27" t="str">
        <f>COUNTIFS(Games!E:E,"&gt;=0.6",Games!M:M,"Y",Games!E:E, "&lt;.65",Games!M:M,"Y") &amp; "-" &amp; COUNTIFS(Games!E:E,"&gt;=0.6",Games!M:M,"N",Games!E:E, "&lt;0.65",Games!M:M,"N")</f>
        <v>10-11</v>
      </c>
      <c r="N6" s="8" t="str">
        <f>COUNTIFS(Games!E:E,"&gt;=0.55",Games!M:M,"Y",Games!E:E, "&lt;.6",Games!M:M,"Y") &amp; "-" &amp; COUNTIFS(Games!E:E,"&gt;=0.55",Games!M:M,"N",Games!E:E, "&lt;0.6",Games!M:M,"N")</f>
        <v>15-5</v>
      </c>
      <c r="O6" s="18" t="str">
        <f>COUNTIFS(Games!E:E,"&gt;=0.5",Games!M:M,"Y",Games!E:E, "&lt;.55",Games!M:M,"Y") &amp; "-" &amp; COUNTIFS(Games!E:E,"&gt;=0.5",Games!M:M,"N",Games!E:E, "&lt;0.55",Games!M:M,"N")</f>
        <v>7-14</v>
      </c>
    </row>
    <row r="7" spans="2:16" ht="24" x14ac:dyDescent="0.25">
      <c r="C7" s="8">
        <f>IFERROR(LEFT(C6)/SUM(LEFT(C6),RIGHT(C6)), "NA")</f>
        <v>0.8</v>
      </c>
      <c r="D7" s="8">
        <f>IFERROR(LEFT(D6,2)/SUM(LEFT(D6,2),RIGHT(D6,2)), "NA")</f>
        <v>0.56666666666666665</v>
      </c>
      <c r="E7" s="8">
        <f>IFERROR(LEFT(E6,2)/SUM(LEFT(E6,2),RIGHT(E6,2)), "NA")</f>
        <v>0.5</v>
      </c>
      <c r="F7" s="8">
        <f>IFERROR(LEFT(F6,1)/SUM(LEFT(F6),RIGHT(F6,2)), "NA")</f>
        <v>0.42857142857142855</v>
      </c>
      <c r="G7" s="8">
        <f>IFERROR(LEFT(G6,2)/SUM(LEFT(G6,2),RIGHT(G6)), "NA")</f>
        <v>0.6875</v>
      </c>
      <c r="H7" s="8">
        <f>IFERROR(LEFT(H6,2)/SUM(LEFT(H6,2),RIGHT(H6,2)), "NA")</f>
        <v>0.3</v>
      </c>
      <c r="I7" s="8">
        <f>IFERROR(LEFT(I6,2)/SUM(LEFT(I6,2),RIGHT(I6,2)), "NA")</f>
        <v>0.47222222222222221</v>
      </c>
      <c r="J7" s="8">
        <f t="shared" ref="J7" si="0">IFERROR(LEFT(J6,1)/SUM(LEFT(J6),RIGHT(J6)), "NA")</f>
        <v>0.61538461538461542</v>
      </c>
      <c r="K7" s="8">
        <f>IFERROR(LEFT(K6,1)/SUM(LEFT(K6),RIGHT(K6,2)), "NA")</f>
        <v>0.45</v>
      </c>
      <c r="L7" s="8">
        <f>IFERROR(LEFT(L6,2)/SUM(LEFT(L6,2),RIGHT(L6)), "NA")</f>
        <v>0.72727272727272729</v>
      </c>
      <c r="M7" s="8">
        <f>IFERROR(LEFT(M6,2)/SUM(LEFT(M6,2),RIGHT(M6,2)), "NA")</f>
        <v>0.47619047619047616</v>
      </c>
      <c r="N7" s="8">
        <f>IFERROR(LEFT(N6,2)/SUM(LEFT(N6,2),RIGHT(N6)), "NA")</f>
        <v>0.75</v>
      </c>
      <c r="O7" s="8">
        <f>IFERROR(LEFT(O6,1)/SUM(LEFT(O6),RIGHT(O6,2)), "NA")</f>
        <v>0.33333333333333331</v>
      </c>
    </row>
    <row r="9" spans="2:16" ht="18.75" x14ac:dyDescent="0.3">
      <c r="B9" s="25" t="s">
        <v>227</v>
      </c>
      <c r="C9" s="26">
        <v>5</v>
      </c>
      <c r="D9" s="26">
        <v>0.5</v>
      </c>
      <c r="E9" s="26">
        <v>0.5</v>
      </c>
      <c r="F9" s="26">
        <v>0.5</v>
      </c>
      <c r="G9" s="26">
        <v>3</v>
      </c>
      <c r="H9" s="26">
        <v>3</v>
      </c>
      <c r="I9" s="26">
        <v>0.5</v>
      </c>
      <c r="J9" s="26">
        <v>1.5</v>
      </c>
      <c r="K9" s="26">
        <v>1.5</v>
      </c>
      <c r="L9" s="26">
        <v>1</v>
      </c>
      <c r="M9" s="26">
        <v>1.5</v>
      </c>
      <c r="N9" s="26">
        <v>1.5</v>
      </c>
      <c r="O9" s="26">
        <v>1.5</v>
      </c>
    </row>
    <row r="10" spans="2:16" ht="18.75" x14ac:dyDescent="0.3">
      <c r="B10" s="23" t="s">
        <v>226</v>
      </c>
      <c r="C10" s="24">
        <f>C9*(LEFT(C6,1)-(1.1*RIGHT(C6,1)))</f>
        <v>29</v>
      </c>
      <c r="D10" s="24">
        <f>D9*(LEFT(D6,2)-(1.1*RIGHT(D6,2)))</f>
        <v>1.3499999999999996</v>
      </c>
      <c r="E10" s="24">
        <f>E9*(LEFT(E6,2)-(1.1*RIGHT(E6,2)))</f>
        <v>-1.0500000000000007</v>
      </c>
      <c r="F10" s="24">
        <f>F9*(LEFT(F6,1)-(1.1*RIGHT(F6,2)))</f>
        <v>-2.1000000000000005</v>
      </c>
      <c r="G10" s="24">
        <f>G9*(LEFT(G6,2)-(1.1*RIGHT(G6,1)))</f>
        <v>16.5</v>
      </c>
      <c r="H10" s="24">
        <f>-H9*(LEFT(H6,2)-(1.1*RIGHT(H6,2)))</f>
        <v>56.400000000000013</v>
      </c>
      <c r="I10" s="24">
        <f>I9*(LEFT(I6,2)-(1.1*RIGHT(I6,2)))</f>
        <v>-1.9500000000000011</v>
      </c>
      <c r="J10" s="24">
        <f t="shared" ref="J10" si="1">J9*(LEFT(J6,1)-(1.1*RIGHT(J6,1)))</f>
        <v>3.75</v>
      </c>
      <c r="K10" s="24">
        <f>K9*(LEFT(K6,1)-(1.1*RIGHT(K6,2)))</f>
        <v>-4.6500000000000021</v>
      </c>
      <c r="L10" s="24">
        <f>L9*(LEFT(L6,2)-(1.1*RIGHT(L6,1)))</f>
        <v>9.3999999999999986</v>
      </c>
      <c r="M10" s="24">
        <f>M9*(LEFT(M6,2)-(1.1*RIGHT(M6,2)))</f>
        <v>-3.1500000000000021</v>
      </c>
      <c r="N10" s="24">
        <f>N9*(LEFT(N6,2)-(1.1*RIGHT(N6,1)))</f>
        <v>14.25</v>
      </c>
      <c r="O10" s="24">
        <f>-O9*(LEFT(O6,1)-(1.1*RIGHT(O6,2)))</f>
        <v>12.600000000000003</v>
      </c>
      <c r="P10" s="24">
        <f>SUM(D10:O10)</f>
        <v>101.35000000000001</v>
      </c>
    </row>
    <row r="13" spans="2:16" x14ac:dyDescent="0.25">
      <c r="E13" s="152" t="s">
        <v>400</v>
      </c>
    </row>
  </sheetData>
  <conditionalFormatting sqref="B2:B3">
    <cfRule type="containsText" dxfId="65" priority="40" operator="containsText" text="NA">
      <formula>NOT(ISERROR(SEARCH("NA",B2)))</formula>
    </cfRule>
    <cfRule type="cellIs" dxfId="64" priority="44" operator="lessThan">
      <formula>0.5</formula>
    </cfRule>
    <cfRule type="cellIs" dxfId="63" priority="43" operator="lessThanOrEqual">
      <formula>0.25</formula>
    </cfRule>
    <cfRule type="cellIs" dxfId="62" priority="42" operator="greaterThan">
      <formula>0.5</formula>
    </cfRule>
    <cfRule type="cellIs" dxfId="61" priority="41" operator="greaterThan">
      <formula>0.75</formula>
    </cfRule>
  </conditionalFormatting>
  <conditionalFormatting sqref="C6:D6">
    <cfRule type="containsText" dxfId="60" priority="16" operator="containsText" text="NA">
      <formula>NOT(ISERROR(SEARCH("NA",C6)))</formula>
    </cfRule>
    <cfRule type="cellIs" dxfId="59" priority="17" operator="greaterThan">
      <formula>0.75</formula>
    </cfRule>
    <cfRule type="cellIs" dxfId="58" priority="18" operator="greaterThan">
      <formula>0.5</formula>
    </cfRule>
    <cfRule type="cellIs" dxfId="57" priority="19" operator="lessThanOrEqual">
      <formula>0.25</formula>
    </cfRule>
    <cfRule type="cellIs" dxfId="56" priority="20" operator="lessThan">
      <formula>0.5</formula>
    </cfRule>
  </conditionalFormatting>
  <conditionalFormatting sqref="C10:P10">
    <cfRule type="cellIs" dxfId="55" priority="26" operator="greaterThan">
      <formula>10</formula>
    </cfRule>
    <cfRule type="cellIs" dxfId="54" priority="27" operator="greaterThan">
      <formula>0</formula>
    </cfRule>
    <cfRule type="cellIs" dxfId="53" priority="28" operator="lessThan">
      <formula>0</formula>
    </cfRule>
  </conditionalFormatting>
  <conditionalFormatting sqref="E6">
    <cfRule type="expression" dxfId="52" priority="88">
      <formula>$E$7</formula>
    </cfRule>
    <cfRule type="containsText" dxfId="51" priority="89" operator="containsText" text="NA">
      <formula>NOT(ISERROR(SEARCH("NA",E6)))</formula>
    </cfRule>
    <cfRule type="cellIs" dxfId="50" priority="90" operator="greaterThan">
      <formula>0.75</formula>
    </cfRule>
    <cfRule type="cellIs" dxfId="49" priority="91" operator="greaterThan">
      <formula>0.5</formula>
    </cfRule>
    <cfRule type="cellIs" dxfId="48" priority="92" operator="lessThanOrEqual">
      <formula>0.25</formula>
    </cfRule>
    <cfRule type="cellIs" dxfId="47" priority="93" operator="lessThan">
      <formula>0.5</formula>
    </cfRule>
  </conditionalFormatting>
  <conditionalFormatting sqref="F6">
    <cfRule type="expression" dxfId="46" priority="87">
      <formula>$F$7</formula>
    </cfRule>
  </conditionalFormatting>
  <conditionalFormatting sqref="G6">
    <cfRule type="containsText" dxfId="45" priority="6" operator="containsText" text="NA">
      <formula>NOT(ISERROR(SEARCH("NA",G6)))</formula>
    </cfRule>
    <cfRule type="cellIs" dxfId="44" priority="7" operator="greaterThan">
      <formula>0.75</formula>
    </cfRule>
    <cfRule type="cellIs" dxfId="43" priority="8" operator="greaterThan">
      <formula>0.5</formula>
    </cfRule>
    <cfRule type="cellIs" dxfId="42" priority="9" operator="lessThanOrEqual">
      <formula>0.25</formula>
    </cfRule>
    <cfRule type="cellIs" dxfId="41" priority="10" operator="lessThan">
      <formula>0.5</formula>
    </cfRule>
  </conditionalFormatting>
  <conditionalFormatting sqref="H6:I6 C7:O7">
    <cfRule type="cellIs" dxfId="40" priority="105" operator="lessThan">
      <formula>0.5</formula>
    </cfRule>
    <cfRule type="containsText" dxfId="39" priority="101" operator="containsText" text="NA">
      <formula>NOT(ISERROR(SEARCH("NA",C6)))</formula>
    </cfRule>
    <cfRule type="cellIs" dxfId="38" priority="102" operator="greaterThan">
      <formula>0.75</formula>
    </cfRule>
    <cfRule type="cellIs" dxfId="37" priority="103" operator="greaterThan">
      <formula>0.5</formula>
    </cfRule>
    <cfRule type="cellIs" dxfId="36" priority="104" operator="lessThanOrEqual">
      <formula>0.25</formula>
    </cfRule>
  </conditionalFormatting>
  <conditionalFormatting sqref="H6:I6">
    <cfRule type="expression" dxfId="35" priority="86">
      <formula>$I$7</formula>
    </cfRule>
  </conditionalFormatting>
  <conditionalFormatting sqref="J6:N6">
    <cfRule type="cellIs" dxfId="34" priority="5" operator="lessThan">
      <formula>0.5</formula>
    </cfRule>
    <cfRule type="cellIs" dxfId="33" priority="4" operator="lessThanOrEqual">
      <formula>0.25</formula>
    </cfRule>
    <cfRule type="cellIs" dxfId="32" priority="3" operator="greaterThan">
      <formula>0.5</formula>
    </cfRule>
    <cfRule type="cellIs" dxfId="31" priority="2" operator="greaterThan">
      <formula>0.75</formula>
    </cfRule>
    <cfRule type="containsText" dxfId="30" priority="1" operator="containsText" text="NA">
      <formula>NOT(ISERROR(SEARCH("NA",J6)))</formula>
    </cfRule>
  </conditionalFormatting>
  <conditionalFormatting sqref="O6">
    <cfRule type="expression" dxfId="29" priority="45">
      <formula>$O$7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07FC-E275-7C41-97D4-6A1EC493F86B}">
  <sheetPr codeName="Sheet4"/>
  <dimension ref="A1:U351"/>
  <sheetViews>
    <sheetView zoomScale="80" zoomScaleNormal="80" workbookViewId="0">
      <pane xSplit="4" topLeftCell="E1" activePane="topRight" state="frozen"/>
      <selection pane="topRight" activeCell="N15" sqref="N15"/>
    </sheetView>
  </sheetViews>
  <sheetFormatPr defaultColWidth="11" defaultRowHeight="15.75" x14ac:dyDescent="0.25"/>
  <cols>
    <col min="1" max="1" width="13.125" bestFit="1" customWidth="1"/>
    <col min="2" max="2" width="13.625" bestFit="1" customWidth="1"/>
    <col min="4" max="4" width="10.875" style="33"/>
    <col min="14" max="14" width="11.125" style="20" bestFit="1" customWidth="1"/>
    <col min="16" max="16" width="10.875" style="14"/>
    <col min="17" max="17" width="13.125" bestFit="1" customWidth="1"/>
    <col min="18" max="18" width="12" bestFit="1" customWidth="1"/>
    <col min="19" max="19" width="12.875" bestFit="1" customWidth="1"/>
  </cols>
  <sheetData>
    <row r="1" spans="1:21" ht="16.5" thickBot="1" x14ac:dyDescent="0.3">
      <c r="A1" s="1" t="s">
        <v>0</v>
      </c>
      <c r="B1" s="1" t="s">
        <v>1</v>
      </c>
      <c r="C1" s="1" t="s">
        <v>2</v>
      </c>
      <c r="D1" s="3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1" t="s">
        <v>19</v>
      </c>
      <c r="O1" s="1" t="s">
        <v>267</v>
      </c>
      <c r="P1" s="9"/>
      <c r="Q1" s="29" t="s">
        <v>264</v>
      </c>
      <c r="R1" s="29" t="s">
        <v>265</v>
      </c>
      <c r="S1" s="29" t="s">
        <v>266</v>
      </c>
      <c r="T1" s="30" t="s">
        <v>268</v>
      </c>
      <c r="U1" s="30" t="s">
        <v>269</v>
      </c>
    </row>
    <row r="2" spans="1:21" ht="24.75" thickBot="1" x14ac:dyDescent="0.35">
      <c r="A2" t="s">
        <v>235</v>
      </c>
      <c r="B2" t="s">
        <v>126</v>
      </c>
      <c r="C2">
        <v>-29</v>
      </c>
      <c r="D2" t="b">
        <v>1</v>
      </c>
      <c r="E2">
        <v>1</v>
      </c>
      <c r="F2">
        <v>115.9</v>
      </c>
      <c r="G2">
        <v>93.4</v>
      </c>
      <c r="H2">
        <v>71.400000000000006</v>
      </c>
      <c r="I2">
        <v>98.9</v>
      </c>
      <c r="J2">
        <v>113</v>
      </c>
      <c r="K2">
        <v>71.5</v>
      </c>
      <c r="L2">
        <v>36.58</v>
      </c>
      <c r="N2" s="22">
        <v>45964</v>
      </c>
      <c r="O2" s="8" cm="1">
        <f t="array" ref="O2">_xlfn.IFS(E36=1,$S$2,E36&gt;=0.99,$S$3, E36&gt;=0.95,$S$4, E36&gt;= 0.93, $S$5, E36&gt;= 0.9,$S$6, E36&gt;= 0.85,$S$7, E36&gt;= 0.8,$S$8, E36&gt;= 0.75,$S$9, E36 &gt;= 0.7, $S$10, E36&gt;= 0.65, $S$11, E36&gt;= 0.6, $S$12, E36&gt;= 0.55,$S$13, E36 &gt;= 0.5,$S$14)</f>
        <v>0.5</v>
      </c>
      <c r="P2" s="10"/>
      <c r="Q2" s="28">
        <v>1</v>
      </c>
      <c r="R2" s="8" t="str">
        <f>COUNTIFS($E:E, "=1", M:M, "Y") &amp; "-" &amp; COUNTIFS(E:E, "=1", M:M, "N")</f>
        <v>8-2</v>
      </c>
      <c r="S2" s="8">
        <f>IFERROR(LEFT(R2)/SUM(LEFT(R2),RIGHT(R2)), "NA")</f>
        <v>0.8</v>
      </c>
      <c r="T2" s="26">
        <v>5</v>
      </c>
      <c r="U2" s="24">
        <f>T2*(LEFT(R2,1)-(1.1*RIGHT(R2,1)))</f>
        <v>29</v>
      </c>
    </row>
    <row r="3" spans="1:21" ht="24.75" thickBot="1" x14ac:dyDescent="0.35">
      <c r="A3" t="s">
        <v>182</v>
      </c>
      <c r="B3" t="s">
        <v>58</v>
      </c>
      <c r="C3">
        <v>-24.5</v>
      </c>
      <c r="D3" t="b">
        <v>1</v>
      </c>
      <c r="E3">
        <v>1</v>
      </c>
      <c r="F3">
        <v>113.1</v>
      </c>
      <c r="G3">
        <v>96.9</v>
      </c>
      <c r="H3">
        <v>69</v>
      </c>
      <c r="I3">
        <v>96</v>
      </c>
      <c r="J3">
        <v>112.5</v>
      </c>
      <c r="K3">
        <v>70.599999999999994</v>
      </c>
      <c r="L3">
        <v>32.69</v>
      </c>
      <c r="N3" s="22">
        <v>45964</v>
      </c>
      <c r="O3" s="8" cm="1">
        <f t="array" ref="O3">_xlfn.IFS(E37=1,$S$2,E37&gt;=0.99,$S$3, E37&gt;=0.95,$S$4, E37&gt;= 0.93, $S$5, E37&gt;= 0.9,$S$6, E37&gt;= 0.85,$S$7, E37&gt;= 0.8,$S$8, E37&gt;= 0.75,$S$9, E37 &gt;= 0.7, $S$10, E37&gt;= 0.65, $S$11, E37&gt;= 0.6, $S$12, E37&gt;= 0.55,$S$13, E37 &gt;= 0.5,$S$14)</f>
        <v>0.8</v>
      </c>
      <c r="P3" s="11"/>
      <c r="Q3" s="5" t="s">
        <v>263</v>
      </c>
      <c r="R3" s="8" t="str">
        <f>COUNTIFS($E:E, "&gt;=.99",$E:E, "&lt;1", M:M, "Y") &amp; "-" &amp; COUNTIFS(E:E, "&gt;=.99", $E:E, "&lt;1",  M:M, "N")</f>
        <v>17-13</v>
      </c>
      <c r="S3" s="8">
        <f>IFERROR(LEFT(R3,2)/SUM(LEFT(R3,2),RIGHT(R3,2)), "NA")</f>
        <v>0.56666666666666665</v>
      </c>
      <c r="T3" s="26">
        <v>2</v>
      </c>
      <c r="U3" s="24">
        <f>T3*(LEFT(R3,2)-(1.1*RIGHT(R3,2)))</f>
        <v>5.3999999999999986</v>
      </c>
    </row>
    <row r="4" spans="1:21" ht="24.75" thickBot="1" x14ac:dyDescent="0.35">
      <c r="A4" t="s">
        <v>108</v>
      </c>
      <c r="B4" t="s">
        <v>205</v>
      </c>
      <c r="C4">
        <v>-25</v>
      </c>
      <c r="D4" t="b">
        <v>1</v>
      </c>
      <c r="E4">
        <v>1</v>
      </c>
      <c r="F4">
        <v>116.5</v>
      </c>
      <c r="G4">
        <v>94.9</v>
      </c>
      <c r="H4">
        <v>73.900000000000006</v>
      </c>
      <c r="I4">
        <v>101.6</v>
      </c>
      <c r="J4">
        <v>109.6</v>
      </c>
      <c r="K4">
        <v>77.3</v>
      </c>
      <c r="L4">
        <v>29.63</v>
      </c>
      <c r="N4" s="22">
        <v>45964</v>
      </c>
      <c r="O4" s="8" cm="1">
        <f t="array" ref="O4">_xlfn.IFS(E38=1,$S$2,E38&gt;=0.99,$S$3, E38&gt;=0.95,$S$4, E38&gt;= 0.93, $S$5, E38&gt;= 0.9,$S$6, E38&gt;= 0.85,$S$7, E38&gt;= 0.8,$S$8, E38&gt;= 0.75,$S$9, E38 &gt;= 0.7, $S$10, E38&gt;= 0.65, $S$11, E38&gt;= 0.6, $S$12, E38&gt;= 0.55,$S$13, E38 &gt;= 0.5,$S$14)</f>
        <v>0.8</v>
      </c>
      <c r="P4" s="11"/>
      <c r="Q4" s="6" t="s">
        <v>135</v>
      </c>
      <c r="R4" s="16" t="str">
        <f>COUNTIFS(E:E, "&gt;=.95",E:E, "&lt;.99", M:M, "Y") &amp; "-" &amp; COUNTIFS(E:E, "&gt;=.95",E:E, "&lt;.99", M:M, "N")</f>
        <v>21-21</v>
      </c>
      <c r="S4" s="8">
        <f>IFERROR(LEFT(R4,2)/SUM(LEFT(R4,2),RIGHT(R4,2)), "NA")</f>
        <v>0.5</v>
      </c>
      <c r="T4" s="26">
        <v>0.5</v>
      </c>
      <c r="U4" s="24">
        <f>T4*(LEFT(R4,2)-(1.1*RIGHT(R4,2)))</f>
        <v>-1.0500000000000007</v>
      </c>
    </row>
    <row r="5" spans="1:21" ht="24.75" thickBot="1" x14ac:dyDescent="0.35">
      <c r="A5" t="s">
        <v>188</v>
      </c>
      <c r="B5" t="s">
        <v>221</v>
      </c>
      <c r="C5">
        <v>-25</v>
      </c>
      <c r="D5" t="b">
        <v>1</v>
      </c>
      <c r="E5">
        <v>1</v>
      </c>
      <c r="F5">
        <v>114.9</v>
      </c>
      <c r="G5">
        <v>99.5</v>
      </c>
      <c r="H5">
        <v>69.400000000000006</v>
      </c>
      <c r="I5">
        <v>99.2</v>
      </c>
      <c r="J5">
        <v>111.4</v>
      </c>
      <c r="K5">
        <v>69.5</v>
      </c>
      <c r="L5">
        <v>27.57</v>
      </c>
      <c r="N5" s="22">
        <v>45964</v>
      </c>
      <c r="O5" s="8" cm="1">
        <f t="array" ref="O5">_xlfn.IFS(E39=1,$S$2,E39&gt;=0.99,$S$3, E39&gt;=0.95,$S$4, E39&gt;= 0.93, $S$5, E39&gt;= 0.9,$S$6, E39&gt;= 0.85,$S$7, E39&gt;= 0.8,$S$8, E39&gt;= 0.75,$S$9, E39 &gt;= 0.7, $S$10, E39&gt;= 0.65, $S$11, E39&gt;= 0.6, $S$12, E39&gt;= 0.55,$S$13, E39 &gt;= 0.5,$S$14)</f>
        <v>0.56666666666666665</v>
      </c>
      <c r="P5" s="11"/>
      <c r="Q5" s="6" t="s">
        <v>136</v>
      </c>
      <c r="R5" s="16" t="str">
        <f>COUNTIFS(E:E, "&gt;=.93",E:E, "&lt;.95", M:M, "Y") &amp; "-" &amp; COUNTIFS(E:E, "&gt;=.93",E:E, "&lt;.95", M:M, "N")</f>
        <v>9-12</v>
      </c>
      <c r="S5" s="8">
        <f>IFERROR(LEFT(R5,1)/SUM(LEFT(R5),RIGHT(R5,2)), "NA")</f>
        <v>0.42857142857142855</v>
      </c>
      <c r="T5" s="26">
        <v>1.5</v>
      </c>
      <c r="U5" s="24">
        <f>T5*(LEFT(R5,1)-(1.1*RIGHT(R5,2)))</f>
        <v>-6.3000000000000016</v>
      </c>
    </row>
    <row r="6" spans="1:21" ht="24.75" thickBot="1" x14ac:dyDescent="0.35">
      <c r="A6" t="s">
        <v>25</v>
      </c>
      <c r="B6" t="s">
        <v>113</v>
      </c>
      <c r="C6">
        <v>-31.5</v>
      </c>
      <c r="D6" t="b">
        <v>1</v>
      </c>
      <c r="E6">
        <v>0.99750000000000005</v>
      </c>
      <c r="F6">
        <v>117.9</v>
      </c>
      <c r="G6">
        <v>96.7</v>
      </c>
      <c r="H6">
        <v>76.400000000000006</v>
      </c>
      <c r="I6">
        <v>101.1</v>
      </c>
      <c r="J6">
        <v>113.2</v>
      </c>
      <c r="K6">
        <v>71.900000000000006</v>
      </c>
      <c r="L6">
        <v>33.159999999999997</v>
      </c>
      <c r="N6" s="22">
        <v>45964</v>
      </c>
      <c r="O6" s="8" cm="1">
        <f t="array" ref="O6">_xlfn.IFS(E40=1,$S$2,E40&gt;=0.99,$S$3, E40&gt;=0.95,$S$4, E40&gt;= 0.93, $S$5, E40&gt;= 0.9,$S$6, E40&gt;= 0.85,$S$7, E40&gt;= 0.8,$S$8, E40&gt;= 0.75,$S$9, E40 &gt;= 0.7, $S$10, E40&gt;= 0.65, $S$11, E40&gt;= 0.6, $S$12, E40&gt;= 0.55,$S$13, E40 &gt;= 0.5,$S$14)</f>
        <v>0.56666666666666665</v>
      </c>
      <c r="P6" s="11"/>
      <c r="Q6" s="6" t="s">
        <v>137</v>
      </c>
      <c r="R6" s="8" t="str">
        <f>COUNTIFS(E:E, "&gt;=.9",E:E, "&lt;.93", M:M, "Y") &amp; "-" &amp; COUNTIFS(E:E, "&gt;=.9",E:E, "&lt;.93", M:M, "N")</f>
        <v>11-5</v>
      </c>
      <c r="S6" s="8">
        <f>IFERROR(LEFT(R6,2)/SUM(LEFT(R6,2),RIGHT(R6)), "NA")</f>
        <v>0.6875</v>
      </c>
      <c r="T6" s="26">
        <v>3</v>
      </c>
      <c r="U6" s="24">
        <f t="shared" ref="U6:U10" si="0">T6*(LEFT(R6,1)-(1.1*RIGHT(R6,1)))</f>
        <v>-13.5</v>
      </c>
    </row>
    <row r="7" spans="1:21" ht="24.75" thickBot="1" x14ac:dyDescent="0.35">
      <c r="A7" t="s">
        <v>131</v>
      </c>
      <c r="B7" t="s">
        <v>281</v>
      </c>
      <c r="C7">
        <v>-16</v>
      </c>
      <c r="D7" t="b">
        <v>1</v>
      </c>
      <c r="E7">
        <v>0.99750000000000005</v>
      </c>
      <c r="F7">
        <v>109.2</v>
      </c>
      <c r="G7">
        <v>103.1</v>
      </c>
      <c r="H7">
        <v>73.3</v>
      </c>
      <c r="I7">
        <v>100.5</v>
      </c>
      <c r="J7">
        <v>108.9</v>
      </c>
      <c r="K7">
        <v>67.900000000000006</v>
      </c>
      <c r="L7">
        <v>14.62</v>
      </c>
      <c r="N7" s="22">
        <v>45964</v>
      </c>
      <c r="O7" s="8" cm="1">
        <f t="array" ref="O7">_xlfn.IFS(E41=1,$S$2,E41&gt;=0.99,$S$3, E41&gt;=0.95,$S$4, E41&gt;= 0.93, $S$5, E41&gt;= 0.9,$S$6, E41&gt;= 0.85,$S$7, E41&gt;= 0.8,$S$8, E41&gt;= 0.75,$S$9, E41 &gt;= 0.7, $S$10, E41&gt;= 0.65, $S$11, E41&gt;= 0.6, $S$12, E41&gt;= 0.55,$S$13, E41 &gt;= 0.5,$S$14)</f>
        <v>0.56666666666666665</v>
      </c>
      <c r="P7" s="11"/>
      <c r="Q7" s="6" t="s">
        <v>138</v>
      </c>
      <c r="R7" s="16" t="str">
        <f>COUNTIFS(E:E, "&gt;=.85",E:E, "&lt;.9", M:M, "Y") &amp; "-" &amp; COUNTIFS(E:E, "&gt;=.85",E:E, "&lt;.9", $M:M, "N")</f>
        <v>12-28</v>
      </c>
      <c r="S7" s="8">
        <f>IFERROR(LEFT(R7,2)/SUM(LEFT(R7,2),RIGHT(R7,2)), "NA")</f>
        <v>0.3</v>
      </c>
      <c r="T7" s="26">
        <v>3</v>
      </c>
      <c r="U7" s="24">
        <f>T7*((RIGHT(R7,2)-(1.1*LEFT(R7,2))))</f>
        <v>44.4</v>
      </c>
    </row>
    <row r="8" spans="1:21" ht="24.75" thickBot="1" x14ac:dyDescent="0.35">
      <c r="A8" t="s">
        <v>232</v>
      </c>
      <c r="B8" t="s">
        <v>186</v>
      </c>
      <c r="C8">
        <v>-23</v>
      </c>
      <c r="D8" t="b">
        <v>1</v>
      </c>
      <c r="E8">
        <v>0.995</v>
      </c>
      <c r="F8">
        <v>119.2</v>
      </c>
      <c r="G8">
        <v>93.5</v>
      </c>
      <c r="H8">
        <v>74.099999999999994</v>
      </c>
      <c r="I8">
        <v>106</v>
      </c>
      <c r="J8">
        <v>110.6</v>
      </c>
      <c r="K8">
        <v>70.8</v>
      </c>
      <c r="L8">
        <v>30.29</v>
      </c>
      <c r="N8" s="22">
        <v>45964</v>
      </c>
      <c r="O8" s="8" cm="1">
        <f t="array" ref="O8">_xlfn.IFS(E42=1,$S$2,E42&gt;=0.99,$S$3, E42&gt;=0.95,$S$4, E42&gt;= 0.93, $S$5, E42&gt;= 0.9,$S$6, E42&gt;= 0.85,$S$7, E42&gt;= 0.8,$S$8, E42&gt;= 0.75,$S$9, E42 &gt;= 0.7, $S$10, E42&gt;= 0.65, $S$11, E42&gt;= 0.6, $S$12, E42&gt;= 0.55,$S$13, E42 &gt;= 0.5,$S$14)</f>
        <v>0.56666666666666665</v>
      </c>
      <c r="P8" s="11"/>
      <c r="Q8" s="6" t="s">
        <v>139</v>
      </c>
      <c r="R8" s="16" t="str">
        <f>COUNTIFS(E:E,"&gt;=.8",E:E,"&lt;.85",M:M,"Y")&amp;"-"&amp;COUNTIFS(E:E,"&gt;=.8",E:E,"&lt;0.85",M:M,"N")</f>
        <v>17-19</v>
      </c>
      <c r="S8" s="8">
        <f>IFERROR(LEFT(R8,2)/SUM(LEFT(R8,2),RIGHT(R8,2)), "NA")</f>
        <v>0.47222222222222221</v>
      </c>
      <c r="T8" s="26">
        <v>0.5</v>
      </c>
      <c r="U8" s="24">
        <f>T8*(LEFT(R8,2)-(1.1*RIGHT(R8,2)))</f>
        <v>-1.9500000000000011</v>
      </c>
    </row>
    <row r="9" spans="1:21" ht="24.75" thickBot="1" x14ac:dyDescent="0.35">
      <c r="A9" t="s">
        <v>75</v>
      </c>
      <c r="B9" t="s">
        <v>66</v>
      </c>
      <c r="C9">
        <v>-20</v>
      </c>
      <c r="D9" t="b">
        <v>1</v>
      </c>
      <c r="E9">
        <v>0.995</v>
      </c>
      <c r="F9">
        <v>119</v>
      </c>
      <c r="G9">
        <v>96.3</v>
      </c>
      <c r="H9">
        <v>71.3</v>
      </c>
      <c r="I9">
        <v>103.2</v>
      </c>
      <c r="J9">
        <v>108.4</v>
      </c>
      <c r="K9">
        <v>71.3</v>
      </c>
      <c r="L9">
        <v>27.79</v>
      </c>
      <c r="N9" s="22">
        <v>45964</v>
      </c>
      <c r="O9" s="8" cm="1">
        <f t="array" ref="O9">_xlfn.IFS(E43=1,$S$2,E43&gt;=0.99,$S$3, E43&gt;=0.95,$S$4, E43&gt;= 0.93, $S$5, E43&gt;= 0.9,$S$6, E43&gt;= 0.85,$S$7, E43&gt;= 0.8,$S$8, E43&gt;= 0.75,$S$9, E43 &gt;= 0.7, $S$10, E43&gt;= 0.65, $S$11, E43&gt;= 0.6, $S$12, E43&gt;= 0.55,$S$13, E43 &gt;= 0.5,$S$14)</f>
        <v>0.56666666666666665</v>
      </c>
      <c r="P9" s="11"/>
      <c r="Q9" s="6" t="s">
        <v>140</v>
      </c>
      <c r="R9" s="8" t="str">
        <f>COUNTIFS(E:E, "&gt;=.75",E:E, "&lt;.8", M:M, "Y") &amp; "-" &amp; COUNTIFS(E:E, "&gt;=.75",E:E, "&lt;.8", M:M, "N")</f>
        <v>8-5</v>
      </c>
      <c r="S9" s="8">
        <f t="shared" ref="S9" si="1">IFERROR(LEFT(R9,1)/SUM(LEFT(R9),RIGHT(R9)), "NA")</f>
        <v>0.61538461538461542</v>
      </c>
      <c r="T9" s="26">
        <v>1.5</v>
      </c>
      <c r="U9" s="24">
        <f t="shared" si="0"/>
        <v>3.75</v>
      </c>
    </row>
    <row r="10" spans="1:21" ht="24.75" thickBot="1" x14ac:dyDescent="0.35">
      <c r="A10" t="s">
        <v>282</v>
      </c>
      <c r="B10" t="s">
        <v>130</v>
      </c>
      <c r="C10">
        <v>-14.5</v>
      </c>
      <c r="D10" t="b">
        <v>1</v>
      </c>
      <c r="E10">
        <v>0.995</v>
      </c>
      <c r="F10">
        <v>107.5</v>
      </c>
      <c r="G10">
        <v>97.3</v>
      </c>
      <c r="H10">
        <v>68.8</v>
      </c>
      <c r="I10">
        <v>97.2</v>
      </c>
      <c r="J10">
        <v>108.3</v>
      </c>
      <c r="K10">
        <v>67.900000000000006</v>
      </c>
      <c r="L10">
        <v>21.2</v>
      </c>
      <c r="N10" s="22">
        <v>45964</v>
      </c>
      <c r="O10" s="8" cm="1">
        <f t="array" ref="O10">_xlfn.IFS(E44=1,$S$2,E44&gt;=0.99,$S$3, E44&gt;=0.95,$S$4, E44&gt;= 0.93, $S$5, E44&gt;= 0.9,$S$6, E44&gt;= 0.85,$S$7, E44&gt;= 0.8,$S$8, E44&gt;= 0.75,$S$9, E44 &gt;= 0.7, $S$10, E44&gt;= 0.65, $S$11, E44&gt;= 0.6, $S$12, E44&gt;= 0.55,$S$13, E44 &gt;= 0.5,$S$14)</f>
        <v>0.56666666666666665</v>
      </c>
      <c r="P10" s="11"/>
      <c r="Q10" s="6" t="s">
        <v>141</v>
      </c>
      <c r="R10" s="16" t="str">
        <f>COUNTIFS(E:E, "&gt;=.7",E:E, "&lt;.75", M:M, "Y") &amp; "-" &amp; COUNTIFS(E:E, "&gt;=.7",E:E, "&lt;.75", M:M, "N")</f>
        <v>9-11</v>
      </c>
      <c r="S10" s="8">
        <f>IFERROR(LEFT(R10,1)/SUM(LEFT(R10),RIGHT(R10,2)), "NA")</f>
        <v>0.45</v>
      </c>
      <c r="T10" s="26">
        <v>1</v>
      </c>
      <c r="U10" s="24">
        <f t="shared" si="0"/>
        <v>7.9</v>
      </c>
    </row>
    <row r="11" spans="1:21" ht="24.75" thickBot="1" x14ac:dyDescent="0.35">
      <c r="A11" t="s">
        <v>247</v>
      </c>
      <c r="B11" t="s">
        <v>219</v>
      </c>
      <c r="C11">
        <v>-13.5</v>
      </c>
      <c r="D11" t="b">
        <v>1</v>
      </c>
      <c r="E11">
        <v>0.995</v>
      </c>
      <c r="F11">
        <v>108.1</v>
      </c>
      <c r="G11">
        <v>98</v>
      </c>
      <c r="H11">
        <v>68.900000000000006</v>
      </c>
      <c r="I11">
        <v>102</v>
      </c>
      <c r="J11">
        <v>108.9</v>
      </c>
      <c r="K11">
        <v>70.099999999999994</v>
      </c>
      <c r="L11">
        <v>16.95</v>
      </c>
      <c r="N11" s="22">
        <v>45964</v>
      </c>
      <c r="O11" s="8" cm="1">
        <f t="array" ref="O11">_xlfn.IFS(E45=1,$S$2,E45&gt;=0.99,$S$3, E45&gt;=0.95,$S$4, E45&gt;= 0.93, $S$5, E45&gt;= 0.9,$S$6, E45&gt;= 0.85,$S$7, E45&gt;= 0.8,$S$8, E45&gt;= 0.75,$S$9, E45 &gt;= 0.7, $S$10, E45&gt;= 0.65, $S$11, E45&gt;= 0.6, $S$12, E45&gt;= 0.55,$S$13, E45 &gt;= 0.5,$S$14)</f>
        <v>0.56666666666666665</v>
      </c>
      <c r="P11" s="11"/>
      <c r="Q11" s="6" t="s">
        <v>142</v>
      </c>
      <c r="R11" s="8" t="str">
        <f>COUNTIFS(E:E, "&gt;=.65",E:E, "&lt;.7", M:M, "Y") &amp; "-" &amp; COUNTIFS(E:E, "&gt;=.65",E:E, "&lt;.7", M:M, "N")</f>
        <v>16-6</v>
      </c>
      <c r="S11" s="8">
        <f>IFERROR(LEFT(R11,2)/SUM(LEFT(R11,2),RIGHT(R11)), "NA")</f>
        <v>0.72727272727272729</v>
      </c>
      <c r="T11" s="26">
        <v>3</v>
      </c>
      <c r="U11" s="24">
        <f>T11*(LEFT(R11,2)-(1.1*RIGHT(R11,1)))</f>
        <v>28.199999999999996</v>
      </c>
    </row>
    <row r="12" spans="1:21" ht="24.75" thickBot="1" x14ac:dyDescent="0.35">
      <c r="A12" t="s">
        <v>187</v>
      </c>
      <c r="B12" t="s">
        <v>283</v>
      </c>
      <c r="C12">
        <v>-16</v>
      </c>
      <c r="D12" t="b">
        <v>1</v>
      </c>
      <c r="E12">
        <v>0.99250000000000005</v>
      </c>
      <c r="F12">
        <v>107.9</v>
      </c>
      <c r="G12">
        <v>101.3</v>
      </c>
      <c r="H12">
        <v>72.7</v>
      </c>
      <c r="I12">
        <v>100.8</v>
      </c>
      <c r="J12">
        <v>111.1</v>
      </c>
      <c r="K12">
        <v>70.900000000000006</v>
      </c>
      <c r="L12">
        <v>17.010000000000002</v>
      </c>
      <c r="N12" s="22">
        <v>45964</v>
      </c>
      <c r="O12" s="8" cm="1">
        <f t="array" ref="O12">_xlfn.IFS(E46=1,$S$2,E46&gt;=0.99,$S$3, E46&gt;=0.95,$S$4, E46&gt;= 0.93, $S$5, E46&gt;= 0.9,$S$6, E46&gt;= 0.85,$S$7, E46&gt;= 0.8,$S$8, E46&gt;= 0.75,$S$9, E46 &gt;= 0.7, $S$10, E46&gt;= 0.65, $S$11, E46&gt;= 0.6, $S$12, E46&gt;= 0.55,$S$13, E46 &gt;= 0.5,$S$14)</f>
        <v>0.5</v>
      </c>
      <c r="P12" s="11"/>
      <c r="Q12" s="6" t="s">
        <v>143</v>
      </c>
      <c r="R12" s="16" t="str">
        <f>COUNTIFS(E:E, "&gt;=.6",E:E, "&lt;.65", M:M, "Y") &amp; "-" &amp; COUNTIFS(E:E, "&gt;=.6",E:E, "&lt;.65", M:M, "N")</f>
        <v>10-11</v>
      </c>
      <c r="S12" s="8">
        <f>IFERROR(LEFT(R12,2)/SUM(LEFT(R12,2),RIGHT(R12,2)), "NA")</f>
        <v>0.47619047619047616</v>
      </c>
      <c r="T12" s="26">
        <v>0.5</v>
      </c>
      <c r="U12" s="24">
        <f>T12*(LEFT(R12,2)-(1.1*RIGHT(R12,2)))</f>
        <v>-1.0500000000000007</v>
      </c>
    </row>
    <row r="13" spans="1:21" ht="24.75" thickBot="1" x14ac:dyDescent="0.35">
      <c r="A13" t="s">
        <v>107</v>
      </c>
      <c r="B13" t="s">
        <v>284</v>
      </c>
      <c r="C13">
        <v>-20.5</v>
      </c>
      <c r="D13" t="b">
        <v>1</v>
      </c>
      <c r="E13">
        <v>0.99250000000000005</v>
      </c>
      <c r="F13">
        <v>115</v>
      </c>
      <c r="G13">
        <v>95.6</v>
      </c>
      <c r="H13">
        <v>70.900000000000006</v>
      </c>
      <c r="I13">
        <v>104.5</v>
      </c>
      <c r="J13">
        <v>107.3</v>
      </c>
      <c r="K13">
        <v>71.400000000000006</v>
      </c>
      <c r="L13">
        <v>22.16</v>
      </c>
      <c r="N13" s="22">
        <v>45964</v>
      </c>
      <c r="O13" s="8" cm="1">
        <f t="array" ref="O13">_xlfn.IFS(E47=1,$S$2,E47&gt;=0.99,$S$3, E47&gt;=0.95,$S$4, E47&gt;= 0.93, $S$5, E47&gt;= 0.9,$S$6, E47&gt;= 0.85,$S$7, E47&gt;= 0.8,$S$8, E47&gt;= 0.75,$S$9, E47 &gt;= 0.7, $S$10, E47&gt;= 0.65, $S$11, E47&gt;= 0.6, $S$12, E47&gt;= 0.55,$S$13, E47 &gt;= 0.5,$S$14)</f>
        <v>0.5</v>
      </c>
      <c r="P13" s="12"/>
      <c r="Q13" s="6" t="s">
        <v>144</v>
      </c>
      <c r="R13" s="8" t="str">
        <f>COUNTIFS(E:E, "&gt;=.55",E:E, "&lt;.6", M:M, "Y") &amp; "-" &amp; COUNTIFS(E:E, "&gt;=.55",E:E, "&lt;.6", M:M, "N")</f>
        <v>15-5</v>
      </c>
      <c r="S13" s="8">
        <f>IFERROR(LEFT(R13,2)/SUM(LEFT(R13,2),RIGHT(R13)), "NA")</f>
        <v>0.75</v>
      </c>
      <c r="T13" s="26">
        <v>2</v>
      </c>
      <c r="U13" s="24">
        <f>T13*(LEFT(R13,2)-(1.1*RIGHT(R13,1)))</f>
        <v>19</v>
      </c>
    </row>
    <row r="14" spans="1:21" ht="24.75" thickBot="1" x14ac:dyDescent="0.35">
      <c r="A14" t="s">
        <v>285</v>
      </c>
      <c r="B14" t="s">
        <v>81</v>
      </c>
      <c r="C14">
        <v>-13</v>
      </c>
      <c r="D14" t="b">
        <v>1</v>
      </c>
      <c r="E14">
        <v>0.99250000000000005</v>
      </c>
      <c r="F14">
        <v>109.9</v>
      </c>
      <c r="G14">
        <v>101.7</v>
      </c>
      <c r="H14">
        <v>71.5</v>
      </c>
      <c r="I14">
        <v>104.6</v>
      </c>
      <c r="J14">
        <v>110.2</v>
      </c>
      <c r="K14">
        <v>70.7</v>
      </c>
      <c r="L14">
        <v>13.78</v>
      </c>
      <c r="N14" s="22">
        <v>45964</v>
      </c>
      <c r="O14" s="8" cm="1">
        <f t="array" ref="O14">_xlfn.IFS(E48=1,$S$2,E48&gt;=0.99,$S$3, E48&gt;=0.95,$S$4, E48&gt;= 0.93, $S$5, E48&gt;= 0.9,$S$6, E48&gt;= 0.85,$S$7, E48&gt;= 0.8,$S$8, E48&gt;= 0.75,$S$9, E48 &gt;= 0.7, $S$10, E48&gt;= 0.65, $S$11, E48&gt;= 0.6, $S$12, E48&gt;= 0.55,$S$13, E48 &gt;= 0.5,$S$14)</f>
        <v>0.5</v>
      </c>
      <c r="P14" s="13"/>
      <c r="Q14" s="7" t="s">
        <v>145</v>
      </c>
      <c r="R14" s="18" t="str">
        <f>COUNTIFS(E:E, "&gt;=.5",E:E, "&lt;.55", M:M, "Y") &amp; "-" &amp; COUNTIFS(E:E, "&gt;=.5",E:E, "&lt;.55", M:M, "N")</f>
        <v>7-14</v>
      </c>
      <c r="S14" s="8">
        <f>IFERROR(LEFT(R14,1)/SUM(LEFT(R14),RIGHT(R14,2)), "NA")</f>
        <v>0.33333333333333331</v>
      </c>
      <c r="T14" s="26">
        <v>0.5</v>
      </c>
      <c r="U14" s="24">
        <f>T14*(LEFT(R14,1)-(1.1*RIGHT(R14,2)))</f>
        <v>-4.2000000000000011</v>
      </c>
    </row>
    <row r="15" spans="1:21" ht="24" x14ac:dyDescent="0.25">
      <c r="A15" t="s">
        <v>286</v>
      </c>
      <c r="B15" t="s">
        <v>203</v>
      </c>
      <c r="C15">
        <v>-12.5</v>
      </c>
      <c r="D15" t="b">
        <v>1</v>
      </c>
      <c r="E15">
        <v>0.99</v>
      </c>
      <c r="F15">
        <v>111.6</v>
      </c>
      <c r="G15">
        <v>101.1</v>
      </c>
      <c r="H15">
        <v>72.099999999999994</v>
      </c>
      <c r="I15">
        <v>105.7</v>
      </c>
      <c r="J15">
        <v>106.1</v>
      </c>
      <c r="K15">
        <v>70.400000000000006</v>
      </c>
      <c r="L15">
        <v>10.84</v>
      </c>
      <c r="N15" s="22">
        <v>45964</v>
      </c>
      <c r="O15" s="8" cm="1">
        <f t="array" ref="O15">_xlfn.IFS(E49=1,$S$2,E49&gt;=0.99,$S$3, E49&gt;=0.95,$S$4, E49&gt;= 0.93, $S$5, E49&gt;= 0.9,$S$6, E49&gt;= 0.85,$S$7, E49&gt;= 0.8,$S$8, E49&gt;= 0.75,$S$9, E49 &gt;= 0.7, $S$10, E49&gt;= 0.65, $S$11, E49&gt;= 0.6, $S$12, E49&gt;= 0.55,$S$13, E49 &gt;= 0.5,$S$14)</f>
        <v>0.5</v>
      </c>
      <c r="P15" s="13"/>
    </row>
    <row r="16" spans="1:21" ht="24" x14ac:dyDescent="0.35">
      <c r="A16" t="s">
        <v>287</v>
      </c>
      <c r="B16" t="s">
        <v>288</v>
      </c>
      <c r="C16">
        <v>-13.5</v>
      </c>
      <c r="D16" t="b">
        <v>1</v>
      </c>
      <c r="E16">
        <v>0.98499999999999999</v>
      </c>
      <c r="F16">
        <v>112.7</v>
      </c>
      <c r="G16">
        <v>99.3</v>
      </c>
      <c r="H16">
        <v>69.599999999999994</v>
      </c>
      <c r="I16">
        <v>103.2</v>
      </c>
      <c r="J16">
        <v>105.9</v>
      </c>
      <c r="K16">
        <v>71.900000000000006</v>
      </c>
      <c r="L16">
        <v>16.07</v>
      </c>
      <c r="N16" s="22">
        <v>45964</v>
      </c>
      <c r="O16" s="8" cm="1">
        <f t="array" ref="O16">_xlfn.IFS(E50=1,$S$2,E50&gt;=0.99,$S$3, E50&gt;=0.95,$S$4, E50&gt;= 0.93, $S$5, E50&gt;= 0.9,$S$6, E50&gt;= 0.85,$S$7, E50&gt;= 0.8,$S$8, E50&gt;= 0.75,$S$9, E50 &gt;= 0.7, $S$10, E50&gt;= 0.65, $S$11, E50&gt;= 0.6, $S$12, E50&gt;= 0.55,$S$13, E50 &gt;= 0.5,$S$14)</f>
        <v>0.5</v>
      </c>
      <c r="P16" s="13"/>
      <c r="T16" s="26" t="s">
        <v>270</v>
      </c>
      <c r="U16" s="31">
        <f>SUM(U2:U14)</f>
        <v>109.6</v>
      </c>
    </row>
    <row r="17" spans="1:16" ht="24" x14ac:dyDescent="0.25">
      <c r="A17" t="s">
        <v>184</v>
      </c>
      <c r="B17" t="s">
        <v>57</v>
      </c>
      <c r="C17">
        <v>-15.5</v>
      </c>
      <c r="D17" t="b">
        <v>1</v>
      </c>
      <c r="E17">
        <v>0.98250000000000004</v>
      </c>
      <c r="F17">
        <v>106.6</v>
      </c>
      <c r="G17">
        <v>101</v>
      </c>
      <c r="H17">
        <v>70.7</v>
      </c>
      <c r="I17">
        <v>97.4</v>
      </c>
      <c r="J17">
        <v>112.4</v>
      </c>
      <c r="K17">
        <v>70.3</v>
      </c>
      <c r="L17">
        <v>20.67</v>
      </c>
      <c r="N17" s="22">
        <v>45964</v>
      </c>
      <c r="O17" s="8" cm="1">
        <f t="array" ref="O17">_xlfn.IFS(E51=1,$S$2,E51&gt;=0.99,$S$3, E51&gt;=0.95,$S$4, E51&gt;= 0.93, $S$5, E51&gt;= 0.9,$S$6, E51&gt;= 0.85,$S$7, E51&gt;= 0.8,$S$8, E51&gt;= 0.75,$S$9, E51 &gt;= 0.7, $S$10, E51&gt;= 0.65, $S$11, E51&gt;= 0.6, $S$12, E51&gt;= 0.55,$S$13, E51 &gt;= 0.5,$S$14)</f>
        <v>0.42857142857142855</v>
      </c>
      <c r="P17" s="13"/>
    </row>
    <row r="18" spans="1:16" ht="24" x14ac:dyDescent="0.25">
      <c r="A18" t="s">
        <v>49</v>
      </c>
      <c r="B18" t="s">
        <v>77</v>
      </c>
      <c r="C18">
        <v>-28</v>
      </c>
      <c r="D18" t="b">
        <v>1</v>
      </c>
      <c r="E18">
        <v>0.97750000000000004</v>
      </c>
      <c r="F18">
        <v>115.3</v>
      </c>
      <c r="G18">
        <v>91.5</v>
      </c>
      <c r="H18">
        <v>69.3</v>
      </c>
      <c r="I18">
        <v>101.2</v>
      </c>
      <c r="J18">
        <v>106.1</v>
      </c>
      <c r="K18">
        <v>74.2</v>
      </c>
      <c r="L18">
        <v>28.68</v>
      </c>
      <c r="N18" s="22">
        <v>45964</v>
      </c>
      <c r="O18" s="8" cm="1">
        <f t="array" ref="O18">_xlfn.IFS(E52=1,$S$2,E52&gt;=0.99,$S$3, E52&gt;=0.95,$S$4, E52&gt;= 0.93, $S$5, E52&gt;= 0.9,$S$6, E52&gt;= 0.85,$S$7, E52&gt;= 0.8,$S$8, E52&gt;= 0.75,$S$9, E52 &gt;= 0.7, $S$10, E52&gt;= 0.65, $S$11, E52&gt;= 0.6, $S$12, E52&gt;= 0.55,$S$13, E52 &gt;= 0.5,$S$14)</f>
        <v>0.42857142857142855</v>
      </c>
      <c r="P18" s="13"/>
    </row>
    <row r="19" spans="1:16" ht="24" x14ac:dyDescent="0.25">
      <c r="A19" t="s">
        <v>178</v>
      </c>
      <c r="B19" t="s">
        <v>204</v>
      </c>
      <c r="C19">
        <v>-11</v>
      </c>
      <c r="D19" t="b">
        <v>1</v>
      </c>
      <c r="E19">
        <v>0.97750000000000004</v>
      </c>
      <c r="F19">
        <v>111.5</v>
      </c>
      <c r="G19">
        <v>100.4</v>
      </c>
      <c r="H19">
        <v>74.2</v>
      </c>
      <c r="I19">
        <v>104</v>
      </c>
      <c r="J19">
        <v>103.7</v>
      </c>
      <c r="K19">
        <v>69.8</v>
      </c>
      <c r="L19">
        <v>10.86</v>
      </c>
      <c r="N19" s="22">
        <v>45964</v>
      </c>
      <c r="O19" s="8" cm="1">
        <f t="array" ref="O19">_xlfn.IFS(E53=1,$S$2,E53&gt;=0.99,$S$3, E53&gt;=0.95,$S$4, E53&gt;= 0.93, $S$5, E53&gt;= 0.9,$S$6, E53&gt;= 0.85,$S$7, E53&gt;= 0.8,$S$8, E53&gt;= 0.75,$S$9, E53 &gt;= 0.7, $S$10, E53&gt;= 0.65, $S$11, E53&gt;= 0.6, $S$12, E53&gt;= 0.55,$S$13, E53 &gt;= 0.5,$S$14)</f>
        <v>0.42857142857142855</v>
      </c>
      <c r="P19" s="13"/>
    </row>
    <row r="20" spans="1:16" ht="24" x14ac:dyDescent="0.25">
      <c r="A20" t="s">
        <v>159</v>
      </c>
      <c r="B20" t="s">
        <v>64</v>
      </c>
      <c r="C20">
        <v>-7.5</v>
      </c>
      <c r="D20" t="b">
        <v>1</v>
      </c>
      <c r="E20">
        <v>0.97499999999999998</v>
      </c>
      <c r="F20">
        <v>111.3</v>
      </c>
      <c r="G20">
        <v>105.6</v>
      </c>
      <c r="H20">
        <v>71.099999999999994</v>
      </c>
      <c r="I20">
        <v>106.5</v>
      </c>
      <c r="J20">
        <v>110.3</v>
      </c>
      <c r="K20">
        <v>70.599999999999994</v>
      </c>
      <c r="L20">
        <v>9.42</v>
      </c>
      <c r="N20" s="22">
        <v>45964</v>
      </c>
      <c r="O20" s="8" cm="1">
        <f t="array" ref="O20">_xlfn.IFS(E54=1,$S$2,E54&gt;=0.99,$S$3, E54&gt;=0.95,$S$4, E54&gt;= 0.93, $S$5, E54&gt;= 0.9,$S$6, E54&gt;= 0.85,$S$7, E54&gt;= 0.8,$S$8, E54&gt;= 0.75,$S$9, E54 &gt;= 0.7, $S$10, E54&gt;= 0.65, $S$11, E54&gt;= 0.6, $S$12, E54&gt;= 0.55,$S$13, E54 &gt;= 0.5,$S$14)</f>
        <v>0.6875</v>
      </c>
      <c r="P20" s="13"/>
    </row>
    <row r="21" spans="1:16" ht="24" x14ac:dyDescent="0.25">
      <c r="A21" t="s">
        <v>234</v>
      </c>
      <c r="B21" t="s">
        <v>254</v>
      </c>
      <c r="C21">
        <v>-9.5</v>
      </c>
      <c r="D21" t="b">
        <v>1</v>
      </c>
      <c r="E21">
        <v>0.97250000000000003</v>
      </c>
      <c r="F21">
        <v>105.4</v>
      </c>
      <c r="G21">
        <v>102.9</v>
      </c>
      <c r="H21">
        <v>73.400000000000006</v>
      </c>
      <c r="I21">
        <v>99.3</v>
      </c>
      <c r="J21">
        <v>110.6</v>
      </c>
      <c r="K21">
        <v>72.2</v>
      </c>
      <c r="L21">
        <v>13.73</v>
      </c>
      <c r="N21" s="22">
        <v>45964</v>
      </c>
      <c r="O21" s="8" cm="1">
        <f t="array" ref="O21">_xlfn.IFS(E55=1,$S$2,E55&gt;=0.99,$S$3, E55&gt;=0.95,$S$4, E55&gt;= 0.93, $S$5, E55&gt;= 0.9,$S$6, E55&gt;= 0.85,$S$7, E55&gt;= 0.8,$S$8, E55&gt;= 0.75,$S$9, E55 &gt;= 0.7, $S$10, E55&gt;= 0.65, $S$11, E55&gt;= 0.6, $S$12, E55&gt;= 0.55,$S$13, E55 &gt;= 0.5,$S$14)</f>
        <v>0.6875</v>
      </c>
    </row>
    <row r="22" spans="1:16" ht="24" x14ac:dyDescent="0.25">
      <c r="A22" t="s">
        <v>289</v>
      </c>
      <c r="B22" t="s">
        <v>290</v>
      </c>
      <c r="C22">
        <v>-31</v>
      </c>
      <c r="D22" t="b">
        <v>1</v>
      </c>
      <c r="E22">
        <v>0.96750000000000003</v>
      </c>
      <c r="F22">
        <v>119.8</v>
      </c>
      <c r="G22">
        <v>101.4</v>
      </c>
      <c r="H22">
        <v>74</v>
      </c>
      <c r="I22">
        <v>101.1</v>
      </c>
      <c r="J22">
        <v>116.3</v>
      </c>
      <c r="K22">
        <v>73.400000000000006</v>
      </c>
      <c r="L22">
        <v>33.64</v>
      </c>
      <c r="N22" s="22">
        <v>45964</v>
      </c>
      <c r="O22" s="8" cm="1">
        <f t="array" ref="O22">_xlfn.IFS(E56=1,$S$2,E56&gt;=0.99,$S$3, E56&gt;=0.95,$S$4, E56&gt;= 0.93, $S$5, E56&gt;= 0.9,$S$6, E56&gt;= 0.85,$S$7, E56&gt;= 0.8,$S$8, E56&gt;= 0.75,$S$9, E56 &gt;= 0.7, $S$10, E56&gt;= 0.65, $S$11, E56&gt;= 0.6, $S$12, E56&gt;= 0.55,$S$13, E56 &gt;= 0.5,$S$14)</f>
        <v>0.6875</v>
      </c>
    </row>
    <row r="23" spans="1:16" ht="24" x14ac:dyDescent="0.25">
      <c r="A23" t="s">
        <v>183</v>
      </c>
      <c r="B23" t="s">
        <v>43</v>
      </c>
      <c r="C23">
        <v>-11</v>
      </c>
      <c r="D23" t="b">
        <v>1</v>
      </c>
      <c r="E23">
        <v>0.95250000000000001</v>
      </c>
      <c r="F23">
        <v>110.8</v>
      </c>
      <c r="G23">
        <v>99.2</v>
      </c>
      <c r="H23">
        <v>74</v>
      </c>
      <c r="I23">
        <v>98.2</v>
      </c>
      <c r="J23">
        <v>101</v>
      </c>
      <c r="K23">
        <v>68.5</v>
      </c>
      <c r="L23">
        <v>14.39</v>
      </c>
      <c r="N23" s="22">
        <v>45964</v>
      </c>
      <c r="O23" s="8" cm="1">
        <f t="array" ref="O23">_xlfn.IFS(E57=1,$S$2,E57&gt;=0.99,$S$3, E57&gt;=0.95,$S$4, E57&gt;= 0.93, $S$5, E57&gt;= 0.9,$S$6, E57&gt;= 0.85,$S$7, E57&gt;= 0.8,$S$8, E57&gt;= 0.75,$S$9, E57 &gt;= 0.7, $S$10, E57&gt;= 0.65, $S$11, E57&gt;= 0.6, $S$12, E57&gt;= 0.55,$S$13, E57 &gt;= 0.5,$S$14)</f>
        <v>0.3</v>
      </c>
    </row>
    <row r="24" spans="1:16" ht="24" x14ac:dyDescent="0.25">
      <c r="A24" t="s">
        <v>212</v>
      </c>
      <c r="B24" t="s">
        <v>248</v>
      </c>
      <c r="C24">
        <v>-6.5</v>
      </c>
      <c r="D24" t="b">
        <v>1</v>
      </c>
      <c r="E24">
        <v>0.87749999999999995</v>
      </c>
      <c r="F24">
        <v>107.8</v>
      </c>
      <c r="G24">
        <v>104.6</v>
      </c>
      <c r="H24">
        <v>73.099999999999994</v>
      </c>
      <c r="I24">
        <v>104.6</v>
      </c>
      <c r="J24">
        <v>108.9</v>
      </c>
      <c r="K24">
        <v>71.3</v>
      </c>
      <c r="L24">
        <v>7.52</v>
      </c>
      <c r="N24" s="22">
        <v>45964</v>
      </c>
      <c r="O24" s="8" cm="1">
        <f t="array" ref="O24">_xlfn.IFS(E58=1,$S$2,E58&gt;=0.99,$S$3, E58&gt;=0.95,$S$4, E58&gt;= 0.93, $S$5, E58&gt;= 0.9,$S$6, E58&gt;= 0.85,$S$7, E58&gt;= 0.8,$S$8, E58&gt;= 0.75,$S$9, E58 &gt;= 0.7, $S$10, E58&gt;= 0.65, $S$11, E58&gt;= 0.6, $S$12, E58&gt;= 0.55,$S$13, E58 &gt;= 0.5,$S$14)</f>
        <v>0.3</v>
      </c>
    </row>
    <row r="25" spans="1:16" ht="24" x14ac:dyDescent="0.25">
      <c r="A25" t="s">
        <v>24</v>
      </c>
      <c r="B25" t="s">
        <v>197</v>
      </c>
      <c r="C25">
        <v>-11.5</v>
      </c>
      <c r="D25" t="b">
        <v>1</v>
      </c>
      <c r="E25">
        <v>0.86250000000000004</v>
      </c>
      <c r="F25">
        <v>103.9</v>
      </c>
      <c r="G25">
        <v>101</v>
      </c>
      <c r="H25">
        <v>72.3</v>
      </c>
      <c r="I25">
        <v>98.8</v>
      </c>
      <c r="J25">
        <v>113.1</v>
      </c>
      <c r="K25">
        <v>72.5</v>
      </c>
      <c r="L25">
        <v>17.21</v>
      </c>
      <c r="N25" s="22">
        <v>45964</v>
      </c>
      <c r="O25" s="8" cm="1">
        <f t="array" ref="O25">_xlfn.IFS(E59&gt;=0.99,$S$3, E59&gt;=0.95,$S$4, E59&gt;= 0.93, $S$5, E59&gt;= 0.9,$S$6, E59&gt;= 0.85,$S$7, E59&gt;= 0.8,$S$8, E59&gt;= 0.75,$S$9, E59 &gt;= 0.7, $S$10, E59&gt;= 0.65, $S$11, E59&gt;= 0.6, $S$12, E59&gt;= 0.55,$S$13, E59 &gt;= 0.5,$S$14)</f>
        <v>0.3</v>
      </c>
    </row>
    <row r="26" spans="1:16" ht="24" x14ac:dyDescent="0.25">
      <c r="A26" t="s">
        <v>291</v>
      </c>
      <c r="B26" t="s">
        <v>292</v>
      </c>
      <c r="C26">
        <v>-8</v>
      </c>
      <c r="D26" t="b">
        <v>1</v>
      </c>
      <c r="E26">
        <v>0.84250000000000003</v>
      </c>
      <c r="F26">
        <v>106.8</v>
      </c>
      <c r="G26">
        <v>107.3</v>
      </c>
      <c r="H26">
        <v>73.8</v>
      </c>
      <c r="I26">
        <v>106.6</v>
      </c>
      <c r="J26">
        <v>111.3</v>
      </c>
      <c r="K26">
        <v>70.400000000000006</v>
      </c>
      <c r="L26">
        <v>4.33</v>
      </c>
      <c r="N26" s="22">
        <v>45964</v>
      </c>
      <c r="O26" s="8" cm="1">
        <f t="array" ref="O26">_xlfn.IFS(E60&gt;=0.99,$S$3, E60&gt;=0.95,$S$4, E60&gt;= 0.93, $S$5, E60&gt;= 0.9,$S$6, E60&gt;= 0.85,$S$7, E60&gt;= 0.8,$S$8, E60&gt;= 0.75,$S$9, E60 &gt;= 0.7, $S$10, E60&gt;= 0.65, $S$11, E60&gt;= 0.6, $S$12, E60&gt;= 0.55,$S$13, E60 &gt;= 0.5,$S$14)</f>
        <v>0.47222222222222221</v>
      </c>
    </row>
    <row r="27" spans="1:16" ht="24" x14ac:dyDescent="0.25">
      <c r="A27" t="s">
        <v>175</v>
      </c>
      <c r="B27" t="s">
        <v>293</v>
      </c>
      <c r="C27">
        <v>-3.5</v>
      </c>
      <c r="D27" t="b">
        <v>1</v>
      </c>
      <c r="E27">
        <v>0.755</v>
      </c>
      <c r="F27">
        <v>108.2</v>
      </c>
      <c r="G27">
        <v>106.8</v>
      </c>
      <c r="H27">
        <v>72.099999999999994</v>
      </c>
      <c r="I27">
        <v>107.6</v>
      </c>
      <c r="J27">
        <v>103.5</v>
      </c>
      <c r="K27">
        <v>72.400000000000006</v>
      </c>
      <c r="L27">
        <v>-2.78</v>
      </c>
      <c r="N27" s="22">
        <v>45964</v>
      </c>
      <c r="O27" s="8" cm="1">
        <f t="array" ref="O27">_xlfn.IFS(E61&gt;=0.99,$S$3, E61&gt;=0.95,$S$4, E61&gt;= 0.93, $S$5, E61&gt;= 0.9,$S$6, E61&gt;= 0.85,$S$7, E61&gt;= 0.8,$S$8, E61&gt;= 0.75,$S$9, E61 &gt;= 0.7, $S$10, E61&gt;= 0.65, $S$11, E61&gt;= 0.6, $S$12, E61&gt;= 0.55,$S$13, E61 &gt;= 0.5,$S$14)</f>
        <v>0.47222222222222221</v>
      </c>
    </row>
    <row r="28" spans="1:16" ht="24" x14ac:dyDescent="0.25">
      <c r="A28" t="s">
        <v>294</v>
      </c>
      <c r="B28" t="s">
        <v>249</v>
      </c>
      <c r="C28">
        <v>-3.5</v>
      </c>
      <c r="D28" t="b">
        <v>1</v>
      </c>
      <c r="E28">
        <v>0.67749999999999999</v>
      </c>
      <c r="F28">
        <v>106.6</v>
      </c>
      <c r="G28">
        <v>108.2</v>
      </c>
      <c r="H28">
        <v>73.599999999999994</v>
      </c>
      <c r="I28">
        <v>106.4</v>
      </c>
      <c r="J28">
        <v>105</v>
      </c>
      <c r="K28">
        <v>72.8</v>
      </c>
      <c r="L28">
        <v>-2.99</v>
      </c>
      <c r="N28" s="22">
        <v>45964</v>
      </c>
      <c r="O28" s="8" cm="1">
        <f t="array" ref="O28">_xlfn.IFS(E62&gt;=0.99,$S$3, E62&gt;=0.95,$S$4, E62&gt;= 0.93, $S$5, E62&gt;= 0.9,$S$6, E62&gt;= 0.85,$S$7, E62&gt;= 0.8,$S$8, E62&gt;= 0.75,$S$9, E62 &gt;= 0.7, $S$10, E62&gt;= 0.65, $S$11, E62&gt;= 0.6, $S$12, E62&gt;= 0.55,$S$13, E62 &gt;= 0.5,$S$14)</f>
        <v>0.61538461538461542</v>
      </c>
    </row>
    <row r="29" spans="1:16" ht="24" x14ac:dyDescent="0.25">
      <c r="A29" t="s">
        <v>213</v>
      </c>
      <c r="B29" t="s">
        <v>250</v>
      </c>
      <c r="C29">
        <v>-4.5</v>
      </c>
      <c r="D29" t="b">
        <v>1</v>
      </c>
      <c r="E29">
        <v>0.66500000000000004</v>
      </c>
      <c r="F29">
        <v>100.7</v>
      </c>
      <c r="G29">
        <v>105.6</v>
      </c>
      <c r="H29">
        <v>75.2</v>
      </c>
      <c r="I29">
        <v>102.9</v>
      </c>
      <c r="J29">
        <v>105.1</v>
      </c>
      <c r="K29">
        <v>73.8</v>
      </c>
      <c r="L29">
        <v>-2.68</v>
      </c>
      <c r="N29" s="22">
        <v>45964</v>
      </c>
      <c r="O29" s="8" cm="1">
        <f t="array" ref="O29">_xlfn.IFS(E63&gt;=0.99,$S$3, E63&gt;=0.95,$S$4, E63&gt;= 0.93, $S$5, E63&gt;= 0.9,$S$6, E63&gt;= 0.85,$S$7, E63&gt;= 0.8,$S$8, E63&gt;= 0.75,$S$9, E63 &gt;= 0.7, $S$10, E63&gt;= 0.65, $S$11, E63&gt;= 0.6, $S$12, E63&gt;= 0.55,$S$13, E63 &gt;= 0.5,$S$14)</f>
        <v>0.45</v>
      </c>
    </row>
    <row r="30" spans="1:16" ht="24" x14ac:dyDescent="0.25">
      <c r="A30" t="s">
        <v>223</v>
      </c>
      <c r="B30" t="s">
        <v>262</v>
      </c>
      <c r="C30">
        <v>-1.5</v>
      </c>
      <c r="D30" t="b">
        <v>1</v>
      </c>
      <c r="E30">
        <v>0.64749999999999996</v>
      </c>
      <c r="F30">
        <v>107.3</v>
      </c>
      <c r="G30">
        <v>105.6</v>
      </c>
      <c r="H30">
        <v>72.599999999999994</v>
      </c>
      <c r="I30">
        <v>108.7</v>
      </c>
      <c r="J30">
        <v>101.4</v>
      </c>
      <c r="K30">
        <v>70.8</v>
      </c>
      <c r="L30">
        <v>-5.61</v>
      </c>
      <c r="N30" s="22">
        <v>45964</v>
      </c>
      <c r="O30" s="8" cm="1">
        <f t="array" ref="O30">_xlfn.IFS(E64&gt;=0.99,$S$3, E64&gt;=0.95,$S$4, E64&gt;= 0.93, $S$5, E64&gt;= 0.9,$S$6, E64&gt;= 0.85,$S$7, E64&gt;= 0.8,$S$8, E64&gt;= 0.75,$S$9, E64 &gt;= 0.7, $S$10, E64&gt;= 0.65, $S$11, E64&gt;= 0.6, $S$12, E64&gt;= 0.55,$S$13, E64 &gt;= 0.5,$S$14)</f>
        <v>0.45</v>
      </c>
    </row>
    <row r="31" spans="1:16" ht="24" x14ac:dyDescent="0.25">
      <c r="A31" t="s">
        <v>208</v>
      </c>
      <c r="B31" t="s">
        <v>233</v>
      </c>
      <c r="C31">
        <v>-5.5</v>
      </c>
      <c r="D31" t="b">
        <v>1</v>
      </c>
      <c r="E31">
        <v>0.64</v>
      </c>
      <c r="F31">
        <v>104.5</v>
      </c>
      <c r="G31">
        <v>109.1</v>
      </c>
      <c r="H31">
        <v>74.099999999999994</v>
      </c>
      <c r="I31">
        <v>102.2</v>
      </c>
      <c r="J31">
        <v>107.5</v>
      </c>
      <c r="K31">
        <v>71.900000000000006</v>
      </c>
      <c r="L31">
        <v>0.71</v>
      </c>
      <c r="N31" s="22">
        <v>45964</v>
      </c>
      <c r="O31" s="8" cm="1">
        <f t="array" ref="O31">_xlfn.IFS(E65&gt;=0.99,$S$3, E65&gt;=0.95,$S$4, E65&gt;= 0.93, $S$5, E65&gt;= 0.9,$S$6, E65&gt;= 0.85,$S$7, E65&gt;= 0.8,$S$8, E65&gt;= 0.75,$S$9, E65 &gt;= 0.7, $S$10, E65&gt;= 0.65, $S$11, E65&gt;= 0.6, $S$12, E65&gt;= 0.55,$S$13, E65 &gt;= 0.5,$S$14)</f>
        <v>0.72727272727272729</v>
      </c>
    </row>
    <row r="32" spans="1:16" ht="24" x14ac:dyDescent="0.25">
      <c r="A32" t="s">
        <v>174</v>
      </c>
      <c r="B32" t="s">
        <v>295</v>
      </c>
      <c r="C32">
        <v>-2.5</v>
      </c>
      <c r="D32" t="b">
        <v>0</v>
      </c>
      <c r="E32">
        <v>0.6</v>
      </c>
      <c r="F32">
        <v>104.6</v>
      </c>
      <c r="G32">
        <v>110.2</v>
      </c>
      <c r="H32">
        <v>70</v>
      </c>
      <c r="I32">
        <v>103</v>
      </c>
      <c r="J32">
        <v>109.5</v>
      </c>
      <c r="K32">
        <v>70.2</v>
      </c>
      <c r="L32">
        <v>0.90000000000000036</v>
      </c>
      <c r="N32" s="22">
        <v>45964</v>
      </c>
      <c r="O32" s="8" cm="1">
        <f t="array" ref="O32">_xlfn.IFS(E66&gt;=0.99,$S$3, E66&gt;=0.95,$S$4, E66&gt;= 0.93, $S$5, E66&gt;= 0.9,$S$6, E66&gt;= 0.85,$S$7, E66&gt;= 0.8,$S$8, E66&gt;= 0.75,$S$9, E66 &gt;= 0.7, $S$10, E66&gt;= 0.65, $S$11, E66&gt;= 0.6, $S$12, E66&gt;= 0.55,$S$13, E66 &gt;= 0.5,$S$14)</f>
        <v>0.72727272727272729</v>
      </c>
    </row>
    <row r="33" spans="1:15" ht="24" x14ac:dyDescent="0.25">
      <c r="A33" t="s">
        <v>44</v>
      </c>
      <c r="B33" t="s">
        <v>35</v>
      </c>
      <c r="C33">
        <v>-2.5</v>
      </c>
      <c r="D33" t="b">
        <v>1</v>
      </c>
      <c r="E33">
        <v>0.58250000000000002</v>
      </c>
      <c r="F33">
        <v>101.6</v>
      </c>
      <c r="G33">
        <v>112.9</v>
      </c>
      <c r="H33">
        <v>75.099999999999994</v>
      </c>
      <c r="I33">
        <v>99.7</v>
      </c>
      <c r="J33">
        <v>106.5</v>
      </c>
      <c r="K33">
        <v>72.099999999999994</v>
      </c>
      <c r="L33">
        <v>-4.4300000000000006</v>
      </c>
      <c r="N33" s="22">
        <v>45964</v>
      </c>
      <c r="O33" s="8" cm="1">
        <f t="array" ref="O33">_xlfn.IFS(E67&gt;=0.99,$S$3, E67&gt;=0.95,$S$4, E67&gt;= 0.93, $S$5, E67&gt;= 0.9,$S$6, E67&gt;= 0.85,$S$7, E67&gt;= 0.8,$S$8, E67&gt;= 0.75,$S$9, E67 &gt;= 0.7, $S$10, E67&gt;= 0.65, $S$11, E67&gt;= 0.6, $S$12, E67&gt;= 0.55,$S$13, E67 &gt;= 0.5,$S$14)</f>
        <v>0.75</v>
      </c>
    </row>
    <row r="34" spans="1:15" ht="24" x14ac:dyDescent="0.25">
      <c r="A34" t="s">
        <v>296</v>
      </c>
      <c r="B34" t="s">
        <v>97</v>
      </c>
      <c r="C34">
        <v>-3</v>
      </c>
      <c r="D34" t="b">
        <v>0</v>
      </c>
      <c r="E34">
        <v>0.55000000000000004</v>
      </c>
      <c r="F34">
        <v>108.3</v>
      </c>
      <c r="G34">
        <v>109.6</v>
      </c>
      <c r="H34">
        <v>68.7</v>
      </c>
      <c r="I34">
        <v>105.2</v>
      </c>
      <c r="J34">
        <v>110.4</v>
      </c>
      <c r="K34">
        <v>74.3</v>
      </c>
      <c r="L34">
        <v>3.86</v>
      </c>
      <c r="N34" s="22">
        <v>45964</v>
      </c>
      <c r="O34" s="8" cm="1">
        <f t="array" ref="O34">_xlfn.IFS(E68&gt;=0.99,$S$3, E68&gt;=0.95,$S$4, E68&gt;= 0.93, $S$5, E68&gt;= 0.9,$S$6, E68&gt;= 0.85,$S$7, E68&gt;= 0.8,$S$8, E68&gt;= 0.75,$S$9, E68 &gt;= 0.7, $S$10, E68&gt;= 0.65, $S$11, E68&gt;= 0.6, $S$12, E68&gt;= 0.55,$S$13, E68 &gt;= 0.5,$S$14)</f>
        <v>0.33333333333333331</v>
      </c>
    </row>
    <row r="35" spans="1:15" ht="24" x14ac:dyDescent="0.25">
      <c r="A35" t="s">
        <v>297</v>
      </c>
      <c r="B35" t="s">
        <v>272</v>
      </c>
      <c r="C35">
        <v>-1.5</v>
      </c>
      <c r="D35" t="b">
        <v>0</v>
      </c>
      <c r="E35">
        <v>0.54</v>
      </c>
      <c r="F35">
        <v>101.5</v>
      </c>
      <c r="G35">
        <v>113.8</v>
      </c>
      <c r="H35">
        <v>72.099999999999994</v>
      </c>
      <c r="I35">
        <v>102.4</v>
      </c>
      <c r="J35">
        <v>111.3</v>
      </c>
      <c r="K35">
        <v>71.8</v>
      </c>
      <c r="L35">
        <v>-3.359999999999999</v>
      </c>
      <c r="N35" s="22">
        <v>45964</v>
      </c>
      <c r="O35" s="8" cm="1">
        <f t="array" ref="O35">_xlfn.IFS(E69&gt;=0.99,$S$3, E69&gt;=0.95,$S$4, E69&gt;= 0.93, $S$5, E69&gt;= 0.9,$S$6, E69&gt;= 0.85,$S$7, E69&gt;= 0.8,$S$8, E69&gt;= 0.75,$S$9, E69 &gt;= 0.7, $S$10, E69&gt;= 0.65, $S$11, E69&gt;= 0.6, $S$12, E69&gt;= 0.55,$S$13, E69 &gt;= 0.5,$S$14)</f>
        <v>0.33333333333333331</v>
      </c>
    </row>
    <row r="36" spans="1:15" ht="24" x14ac:dyDescent="0.25">
      <c r="A36" t="s">
        <v>191</v>
      </c>
      <c r="B36" t="s">
        <v>37</v>
      </c>
      <c r="C36">
        <v>-7.5</v>
      </c>
      <c r="D36" s="33" t="b">
        <v>1</v>
      </c>
      <c r="E36">
        <v>0.96499999999999997</v>
      </c>
      <c r="F36">
        <v>114.2</v>
      </c>
      <c r="G36">
        <v>98.2</v>
      </c>
      <c r="H36">
        <v>67.7</v>
      </c>
      <c r="I36">
        <v>117.9</v>
      </c>
      <c r="J36">
        <v>106.8</v>
      </c>
      <c r="K36">
        <v>70</v>
      </c>
      <c r="L36">
        <v>4.91</v>
      </c>
      <c r="M36" t="s">
        <v>18</v>
      </c>
      <c r="N36" s="22">
        <v>45725</v>
      </c>
      <c r="O36" s="8" cm="1">
        <f t="array" ref="O36">_xlfn.IFS(E70&gt;=0.99,$S$3, E70&gt;=0.95,$S$4, E70&gt;= 0.93, $S$5, E70&gt;= 0.9,$S$6, E70&gt;= 0.85,$S$7, E70&gt;= 0.8,$S$8, E70&gt;= 0.75,$S$9, E70 &gt;= 0.7, $S$10, E70&gt;= 0.65, $S$11, E70&gt;= 0.6, $S$12, E70&gt;= 0.55,$S$13, E70 &gt;= 0.5,$S$14)</f>
        <v>0.56666666666666665</v>
      </c>
    </row>
    <row r="37" spans="1:15" ht="24" x14ac:dyDescent="0.25">
      <c r="A37" t="s">
        <v>203</v>
      </c>
      <c r="B37" t="s">
        <v>194</v>
      </c>
      <c r="C37">
        <v>-11.5</v>
      </c>
      <c r="D37" s="33" t="b">
        <v>1</v>
      </c>
      <c r="E37">
        <v>1</v>
      </c>
      <c r="F37">
        <v>123.1</v>
      </c>
      <c r="G37">
        <v>100.2</v>
      </c>
      <c r="H37">
        <v>67.3</v>
      </c>
      <c r="I37">
        <v>113.4</v>
      </c>
      <c r="J37">
        <v>102</v>
      </c>
      <c r="K37">
        <v>68.900000000000006</v>
      </c>
      <c r="L37">
        <v>11.47</v>
      </c>
      <c r="M37" t="s">
        <v>18</v>
      </c>
      <c r="N37" s="22">
        <v>45724</v>
      </c>
      <c r="O37" s="8" cm="1">
        <f t="array" ref="O37">_xlfn.IFS(E71&gt;=0.99,$S$3, E71&gt;=0.95,$S$4, E71&gt;= 0.93, $S$5, E71&gt;= 0.9,$S$6, E71&gt;= 0.85,$S$7, E71&gt;= 0.8,$S$8, E71&gt;= 0.75,$S$9, E71 &gt;= 0.7, $S$10, E71&gt;= 0.65, $S$11, E71&gt;= 0.6, $S$12, E71&gt;= 0.55,$S$13, E71 &gt;= 0.5,$S$14)</f>
        <v>0.56666666666666665</v>
      </c>
    </row>
    <row r="38" spans="1:15" ht="24" x14ac:dyDescent="0.25">
      <c r="A38" t="s">
        <v>253</v>
      </c>
      <c r="B38" t="s">
        <v>218</v>
      </c>
      <c r="C38">
        <v>-17.5</v>
      </c>
      <c r="D38" s="33" t="b">
        <v>1</v>
      </c>
      <c r="E38">
        <v>1</v>
      </c>
      <c r="F38">
        <v>120.9</v>
      </c>
      <c r="G38">
        <v>96.3</v>
      </c>
      <c r="H38">
        <v>64.099999999999994</v>
      </c>
      <c r="I38">
        <v>107.8</v>
      </c>
      <c r="J38">
        <v>107.3</v>
      </c>
      <c r="K38">
        <v>65.400000000000006</v>
      </c>
      <c r="L38">
        <v>24.13</v>
      </c>
      <c r="M38" t="s">
        <v>15</v>
      </c>
      <c r="N38" s="22">
        <v>45724</v>
      </c>
      <c r="O38" s="8" cm="1">
        <f t="array" ref="O38">_xlfn.IFS(E72&gt;=0.99,$S$3, E72&gt;=0.95,$S$4, E72&gt;= 0.93, $S$5, E72&gt;= 0.9,$S$6, E72&gt;= 0.85,$S$7, E72&gt;= 0.8,$S$8, E72&gt;= 0.75,$S$9, E72 &gt;= 0.7, $S$10, E72&gt;= 0.65, $S$11, E72&gt;= 0.6, $S$12, E72&gt;= 0.55,$S$13, E72 &gt;= 0.5,$S$14)</f>
        <v>0.5</v>
      </c>
    </row>
    <row r="39" spans="1:15" ht="24" x14ac:dyDescent="0.25">
      <c r="A39" t="s">
        <v>73</v>
      </c>
      <c r="B39" t="s">
        <v>244</v>
      </c>
      <c r="C39">
        <v>-11.5</v>
      </c>
      <c r="D39" s="33" t="b">
        <v>1</v>
      </c>
      <c r="E39">
        <v>0.99750000000000005</v>
      </c>
      <c r="F39">
        <v>118.8</v>
      </c>
      <c r="G39">
        <v>96.3</v>
      </c>
      <c r="H39">
        <v>69.2</v>
      </c>
      <c r="I39">
        <v>112.8</v>
      </c>
      <c r="J39">
        <v>103.5</v>
      </c>
      <c r="K39">
        <v>66.8</v>
      </c>
      <c r="L39">
        <v>13.22</v>
      </c>
      <c r="M39" t="s">
        <v>15</v>
      </c>
      <c r="N39" s="22">
        <v>45724</v>
      </c>
      <c r="O39" s="8" cm="1">
        <f t="array" ref="O39">_xlfn.IFS(E73&gt;=0.99,$S$3, E73&gt;=0.95,$S$4, E73&gt;= 0.93, $S$5, E73&gt;= 0.9,$S$6, E73&gt;= 0.85,$S$7, E73&gt;= 0.8,$S$8, E73&gt;= 0.75,$S$9, E73 &gt;= 0.7, $S$10, E73&gt;= 0.65, $S$11, E73&gt;= 0.6, $S$12, E73&gt;= 0.55,$S$13, E73 &gt;= 0.5,$S$14)</f>
        <v>0.61538461538461542</v>
      </c>
    </row>
    <row r="40" spans="1:15" ht="24" x14ac:dyDescent="0.25">
      <c r="A40" t="s">
        <v>163</v>
      </c>
      <c r="B40" t="s">
        <v>43</v>
      </c>
      <c r="C40">
        <v>-12</v>
      </c>
      <c r="D40" s="33" t="b">
        <v>1</v>
      </c>
      <c r="E40">
        <v>0.99750000000000005</v>
      </c>
      <c r="F40">
        <v>114.7</v>
      </c>
      <c r="G40">
        <v>98</v>
      </c>
      <c r="H40">
        <v>69.2</v>
      </c>
      <c r="I40">
        <v>112.9</v>
      </c>
      <c r="J40">
        <v>105.1</v>
      </c>
      <c r="K40">
        <v>66.599999999999994</v>
      </c>
      <c r="L40">
        <v>8.89</v>
      </c>
      <c r="M40" t="s">
        <v>18</v>
      </c>
      <c r="N40" s="22">
        <v>45724</v>
      </c>
      <c r="O40" s="8" cm="1">
        <f t="array" ref="O40">_xlfn.IFS(E74 = 1, $S$2, E74&gt;=0.99,$S$3, E74&gt;=0.95,$S$4, E74&gt;= 0.93, $S$5, E74&gt;= 0.9,$S$6, E74&gt;= 0.85,$S$7, E74&gt;= 0.8,$S$8, E74&gt;= 0.75,$S$9, E74 &gt;= 0.7, $S$10, E74&gt;= 0.65, $S$11, E74&gt;= 0.6, $S$12, E74&gt;= 0.55,$S$13, E74 &gt;= 0.5,$S$14)</f>
        <v>0.5</v>
      </c>
    </row>
    <row r="41" spans="1:15" ht="24" x14ac:dyDescent="0.25">
      <c r="A41" t="s">
        <v>210</v>
      </c>
      <c r="B41" t="s">
        <v>77</v>
      </c>
      <c r="C41">
        <v>-15.5</v>
      </c>
      <c r="D41" s="33" t="b">
        <v>1</v>
      </c>
      <c r="E41">
        <v>0.995</v>
      </c>
      <c r="F41">
        <v>118.5</v>
      </c>
      <c r="G41">
        <v>87</v>
      </c>
      <c r="H41">
        <v>63.9</v>
      </c>
      <c r="I41">
        <v>110.4</v>
      </c>
      <c r="J41">
        <v>99.2</v>
      </c>
      <c r="K41">
        <v>65.599999999999994</v>
      </c>
      <c r="L41">
        <v>20.239999999999998</v>
      </c>
      <c r="M41" t="s">
        <v>18</v>
      </c>
      <c r="N41" s="22">
        <v>45724</v>
      </c>
      <c r="O41" s="8" cm="1">
        <f t="array" ref="O41">_xlfn.IFS(E75 = 1, $S$2, E75&gt;=0.99,$S$3, E75&gt;=0.95,$S$4, E75&gt;= 0.93, $S$5, E75&gt;= 0.9,$S$6, E75&gt;= 0.85,$S$7, E75&gt;= 0.8,$S$8, E75&gt;= 0.75,$S$9, E75 &gt;= 0.7, $S$10, E75&gt;= 0.65, $S$11, E75&gt;= 0.6, $S$12, E75&gt;= 0.55,$S$13, E75 &gt;= 0.5,$S$14)</f>
        <v>0.42857142857142855</v>
      </c>
    </row>
    <row r="42" spans="1:15" ht="24" x14ac:dyDescent="0.25">
      <c r="A42" t="s">
        <v>205</v>
      </c>
      <c r="B42" t="s">
        <v>242</v>
      </c>
      <c r="C42">
        <v>-9.5</v>
      </c>
      <c r="D42" s="33" t="b">
        <v>1</v>
      </c>
      <c r="E42">
        <v>0.995</v>
      </c>
      <c r="F42">
        <v>116.6</v>
      </c>
      <c r="G42">
        <v>94.9</v>
      </c>
      <c r="H42">
        <v>65</v>
      </c>
      <c r="I42">
        <v>116.5</v>
      </c>
      <c r="J42">
        <v>104</v>
      </c>
      <c r="K42">
        <v>68.599999999999994</v>
      </c>
      <c r="L42">
        <v>9.25</v>
      </c>
      <c r="M42" t="s">
        <v>15</v>
      </c>
      <c r="N42" s="22">
        <v>45724</v>
      </c>
      <c r="O42" s="8" cm="1">
        <f t="array" ref="O42">_xlfn.IFS(E76 = 1, $S$2, E76&gt;=0.99,$S$3, E76&gt;=0.95,$S$4, E76&gt;= 0.93, $S$5, E76&gt;= 0.9,$S$6, E76&gt;= 0.85,$S$7, E76&gt;= 0.8,$S$8, E76&gt;= 0.75,$S$9, E76 &gt;= 0.7, $S$10, E76&gt;= 0.65, $S$11, E76&gt;= 0.6, $S$12, E76&gt;= 0.55,$S$13, E76 &gt;= 0.5,$S$14)</f>
        <v>0.47222222222222221</v>
      </c>
    </row>
    <row r="43" spans="1:15" ht="24" x14ac:dyDescent="0.25">
      <c r="A43" t="s">
        <v>89</v>
      </c>
      <c r="B43" t="s">
        <v>99</v>
      </c>
      <c r="C43">
        <v>-10.5</v>
      </c>
      <c r="D43" s="33" t="b">
        <v>1</v>
      </c>
      <c r="E43">
        <v>0.995</v>
      </c>
      <c r="F43">
        <v>114.1</v>
      </c>
      <c r="G43">
        <v>111.7</v>
      </c>
      <c r="H43">
        <v>71.099999999999994</v>
      </c>
      <c r="I43">
        <v>107</v>
      </c>
      <c r="J43">
        <v>116.2</v>
      </c>
      <c r="K43">
        <v>70.599999999999994</v>
      </c>
      <c r="L43">
        <v>11.71</v>
      </c>
      <c r="M43" t="s">
        <v>15</v>
      </c>
      <c r="N43" s="22">
        <v>45724</v>
      </c>
      <c r="O43" s="8" cm="1">
        <f t="array" ref="O43">_xlfn.IFS(E77 = 1, $S$2, E77&gt;=0.99,$S$3, E77&gt;=0.95,$S$4, E77&gt;= 0.93, $S$5, E77&gt;= 0.9,$S$6, E77&gt;= 0.85,$S$7, E77&gt;= 0.8,$S$8, E77&gt;= 0.75,$S$9, E77 &gt;= 0.7, $S$10, E77&gt;= 0.65, $S$11, E77&gt;= 0.6, $S$12, E77&gt;= 0.55,$S$13, E77 &gt;= 0.5,$S$14)</f>
        <v>0.72727272727272729</v>
      </c>
    </row>
    <row r="44" spans="1:15" ht="24" x14ac:dyDescent="0.25">
      <c r="A44" t="s">
        <v>223</v>
      </c>
      <c r="B44" t="s">
        <v>123</v>
      </c>
      <c r="C44">
        <v>-11.5</v>
      </c>
      <c r="D44" s="33" t="b">
        <v>1</v>
      </c>
      <c r="E44">
        <v>0.99250000000000005</v>
      </c>
      <c r="F44">
        <v>117</v>
      </c>
      <c r="G44">
        <v>102.9</v>
      </c>
      <c r="H44">
        <v>66.3</v>
      </c>
      <c r="I44">
        <v>105</v>
      </c>
      <c r="J44">
        <v>106.6</v>
      </c>
      <c r="K44">
        <v>66.8</v>
      </c>
      <c r="L44">
        <v>15.69</v>
      </c>
      <c r="M44" t="s">
        <v>15</v>
      </c>
      <c r="N44" s="22">
        <v>45724</v>
      </c>
      <c r="O44" s="8" cm="1">
        <f t="array" ref="O44">_xlfn.IFS(E78 = 1, $S$2, E78&gt;=0.99,$S$3, E78&gt;=0.95,$S$4, E78&gt;= 0.93, $S$5, E78&gt;= 0.9,$S$6, E78&gt;= 0.85,$S$7, E78&gt;= 0.8,$S$8, E78&gt;= 0.75,$S$9, E78 &gt;= 0.7, $S$10, E78&gt;= 0.65, $S$11, E78&gt;= 0.6, $S$12, E78&gt;= 0.55,$S$13, E78 &gt;= 0.5,$S$14)</f>
        <v>0.72727272727272729</v>
      </c>
    </row>
    <row r="45" spans="1:15" ht="24" x14ac:dyDescent="0.25">
      <c r="A45" t="s">
        <v>257</v>
      </c>
      <c r="B45" t="s">
        <v>82</v>
      </c>
      <c r="C45">
        <v>-14.5</v>
      </c>
      <c r="D45" s="33" t="b">
        <v>1</v>
      </c>
      <c r="E45">
        <v>0.99</v>
      </c>
      <c r="F45">
        <v>101</v>
      </c>
      <c r="G45">
        <v>106.1</v>
      </c>
      <c r="H45">
        <v>62.5</v>
      </c>
      <c r="I45">
        <v>94</v>
      </c>
      <c r="J45">
        <v>115.7</v>
      </c>
      <c r="K45">
        <v>67.599999999999994</v>
      </c>
      <c r="L45">
        <v>16.600000000000001</v>
      </c>
      <c r="M45" t="s">
        <v>18</v>
      </c>
      <c r="N45" s="22">
        <v>45724</v>
      </c>
      <c r="O45" s="8" cm="1">
        <f t="array" ref="O45">_xlfn.IFS(E79 = 1, $S$2, E79&gt;=0.99,$S$3, E79&gt;=0.95,$S$4, E79&gt;= 0.93, $S$5, E79&gt;= 0.9,$S$6, E79&gt;= 0.85,$S$7, E79&gt;= 0.8,$S$8, E79&gt;= 0.75,$S$9, E79 &gt;= 0.7, $S$10, E79&gt;= 0.65, $S$11, E79&gt;= 0.6, $S$12, E79&gt;= 0.55,$S$13, E79 &gt;= 0.5,$S$14)</f>
        <v>0.75</v>
      </c>
    </row>
    <row r="46" spans="1:15" ht="24" x14ac:dyDescent="0.25">
      <c r="A46" t="s">
        <v>79</v>
      </c>
      <c r="B46" t="s">
        <v>128</v>
      </c>
      <c r="C46">
        <v>-10.5</v>
      </c>
      <c r="D46" s="33" t="b">
        <v>1</v>
      </c>
      <c r="E46">
        <v>0.98750000000000004</v>
      </c>
      <c r="F46">
        <v>116.5</v>
      </c>
      <c r="G46">
        <v>97.9</v>
      </c>
      <c r="H46">
        <v>67.900000000000006</v>
      </c>
      <c r="I46">
        <v>116.5</v>
      </c>
      <c r="J46">
        <v>105</v>
      </c>
      <c r="K46">
        <v>67.900000000000006</v>
      </c>
      <c r="L46">
        <v>7.1499999999999986</v>
      </c>
      <c r="M46" t="s">
        <v>15</v>
      </c>
      <c r="N46" s="22">
        <v>45724</v>
      </c>
      <c r="O46" s="8" cm="1">
        <f t="array" ref="O46">_xlfn.IFS(E80 = 1, $S$2, E80&gt;=0.99,$S$3, E80&gt;=0.95,$S$4, E80&gt;= 0.93, $S$5, E80&gt;= 0.9,$S$6, E80&gt;= 0.85,$S$7, E80&gt;= 0.8,$S$8, E80&gt;= 0.75,$S$9, E80 &gt;= 0.7, $S$10, E80&gt;= 0.65, $S$11, E80&gt;= 0.6, $S$12, E80&gt;= 0.55,$S$13, E80 &gt;= 0.5,$S$14)</f>
        <v>0.33333333333333331</v>
      </c>
    </row>
    <row r="47" spans="1:15" ht="24" x14ac:dyDescent="0.25">
      <c r="A47" t="s">
        <v>200</v>
      </c>
      <c r="B47" t="s">
        <v>127</v>
      </c>
      <c r="C47">
        <v>-12.5</v>
      </c>
      <c r="D47" s="33" t="b">
        <v>1</v>
      </c>
      <c r="E47">
        <v>0.97750000000000004</v>
      </c>
      <c r="F47">
        <v>126.7</v>
      </c>
      <c r="G47">
        <v>92.7</v>
      </c>
      <c r="H47">
        <v>69.5</v>
      </c>
      <c r="I47">
        <v>118</v>
      </c>
      <c r="J47">
        <v>95.9</v>
      </c>
      <c r="K47">
        <v>68.3</v>
      </c>
      <c r="L47">
        <v>11.98</v>
      </c>
      <c r="M47" t="s">
        <v>15</v>
      </c>
      <c r="N47" s="22">
        <v>45724</v>
      </c>
      <c r="O47" s="8" cm="1">
        <f t="array" ref="O47">_xlfn.IFS(E81 = 1, $S$2, E81&gt;=0.99,$S$3, E81&gt;=0.95,$S$4, E81&gt;= 0.93, $S$5, E81&gt;= 0.9,$S$6, E81&gt;= 0.85,$S$7, E81&gt;= 0.8,$S$8, E81&gt;= 0.75,$S$9, E81 &gt;= 0.7, $S$10, E81&gt;= 0.65, $S$11, E81&gt;= 0.6, $S$12, E81&gt;= 0.55,$S$13, E81 &gt;= 0.5,$S$14)</f>
        <v>0.8</v>
      </c>
    </row>
    <row r="48" spans="1:15" ht="24" x14ac:dyDescent="0.25">
      <c r="A48" t="s">
        <v>176</v>
      </c>
      <c r="B48" t="s">
        <v>36</v>
      </c>
      <c r="C48">
        <v>-11</v>
      </c>
      <c r="D48" s="33" t="b">
        <v>1</v>
      </c>
      <c r="E48">
        <v>0.96750000000000003</v>
      </c>
      <c r="F48">
        <v>118.2</v>
      </c>
      <c r="G48">
        <v>93.4</v>
      </c>
      <c r="H48">
        <v>70.099999999999994</v>
      </c>
      <c r="I48">
        <v>114.9</v>
      </c>
      <c r="J48">
        <v>98.5</v>
      </c>
      <c r="K48">
        <v>64.900000000000006</v>
      </c>
      <c r="L48">
        <v>8.4500000000000028</v>
      </c>
      <c r="M48" t="s">
        <v>15</v>
      </c>
      <c r="N48" s="22">
        <v>45724</v>
      </c>
      <c r="O48" s="8" cm="1">
        <f t="array" ref="O48">_xlfn.IFS(E82&gt;=0.99,$S$3, E82&gt;=0.95,$S$4, E82&gt;= 0.93, $S$5, E82&gt;= 0.9,$S$6, E82&gt;= 0.85,$S$7, E82&gt;= 0.8,$S$8, E82&gt;= 0.75,$S$9, E82 &gt;= 0.7, $S$10, E82&gt;= 0.65, $S$11, E82&gt;= 0.6, $S$12, E82&gt;= 0.55,$S$13, E82 &gt;= 0.5,$S$14)</f>
        <v>0.56666666666666665</v>
      </c>
    </row>
    <row r="49" spans="1:15" ht="24" x14ac:dyDescent="0.25">
      <c r="A49" t="s">
        <v>204</v>
      </c>
      <c r="B49" t="s">
        <v>215</v>
      </c>
      <c r="C49">
        <v>-7.5</v>
      </c>
      <c r="D49" s="33" t="b">
        <v>1</v>
      </c>
      <c r="E49">
        <v>0.96</v>
      </c>
      <c r="F49">
        <v>110.1</v>
      </c>
      <c r="G49">
        <v>94.3</v>
      </c>
      <c r="H49">
        <v>64.5</v>
      </c>
      <c r="I49">
        <v>115.4</v>
      </c>
      <c r="J49">
        <v>105.2</v>
      </c>
      <c r="K49">
        <v>72.099999999999994</v>
      </c>
      <c r="L49">
        <v>5.6</v>
      </c>
      <c r="M49" t="s">
        <v>18</v>
      </c>
      <c r="N49" s="22">
        <v>45724</v>
      </c>
      <c r="O49" s="8" cm="1">
        <f t="array" ref="O49">_xlfn.IFS(E83&gt;=0.99,$S$3, E83&gt;=0.95,$S$4, E83&gt;= 0.93, $S$5, E83&gt;= 0.9,$S$6, E83&gt;= 0.85,$S$7, E83&gt;= 0.8,$S$8, E83&gt;= 0.75,$S$9, E83 &gt;= 0.7, $S$10, E83&gt;= 0.65, $S$11, E83&gt;= 0.6, $S$12, E83&gt;= 0.55,$S$13, E83 &gt;= 0.5,$S$14)</f>
        <v>0.56666666666666665</v>
      </c>
    </row>
    <row r="50" spans="1:15" ht="24" x14ac:dyDescent="0.25">
      <c r="A50" t="s">
        <v>274</v>
      </c>
      <c r="B50" t="s">
        <v>275</v>
      </c>
      <c r="C50">
        <v>-14</v>
      </c>
      <c r="D50" s="33" t="b">
        <v>1</v>
      </c>
      <c r="E50">
        <v>0.95499999999999996</v>
      </c>
      <c r="F50">
        <v>100.5</v>
      </c>
      <c r="G50">
        <v>105.2</v>
      </c>
      <c r="H50">
        <v>69.099999999999994</v>
      </c>
      <c r="I50">
        <v>93.1</v>
      </c>
      <c r="J50">
        <v>115.4</v>
      </c>
      <c r="K50">
        <v>72</v>
      </c>
      <c r="L50">
        <v>17.579999999999998</v>
      </c>
      <c r="M50" t="s">
        <v>52</v>
      </c>
      <c r="N50" s="22">
        <v>45724</v>
      </c>
      <c r="O50" s="8" cm="1">
        <f t="array" ref="O50">_xlfn.IFS(E84&gt;=0.99,$S$3, E84&gt;=0.95,$S$4, E84&gt;= 0.93, $S$5, E84&gt;= 0.9,$S$6, E84&gt;= 0.85,$S$7, E84&gt;= 0.8,$S$8, E84&gt;= 0.75,$S$9, E84 &gt;= 0.7, $S$10, E84&gt;= 0.65, $S$11, E84&gt;= 0.6, $S$12, E84&gt;= 0.55,$S$13, E84 &gt;= 0.5,$S$14)</f>
        <v>0.5</v>
      </c>
    </row>
    <row r="51" spans="1:15" ht="24" x14ac:dyDescent="0.25">
      <c r="A51" t="s">
        <v>211</v>
      </c>
      <c r="B51" t="s">
        <v>124</v>
      </c>
      <c r="C51">
        <v>-6.5</v>
      </c>
      <c r="D51" s="33" t="b">
        <v>1</v>
      </c>
      <c r="E51">
        <v>0.94750000000000001</v>
      </c>
      <c r="F51">
        <v>109</v>
      </c>
      <c r="G51">
        <v>98.7</v>
      </c>
      <c r="H51">
        <v>67.5</v>
      </c>
      <c r="I51">
        <v>108.6</v>
      </c>
      <c r="J51">
        <v>101.3</v>
      </c>
      <c r="K51">
        <v>68.900000000000006</v>
      </c>
      <c r="L51">
        <v>3.04</v>
      </c>
      <c r="M51" t="s">
        <v>15</v>
      </c>
      <c r="N51" s="22">
        <v>45724</v>
      </c>
      <c r="O51" s="8" cm="1">
        <f t="array" ref="O51">_xlfn.IFS(E85&gt;=0.99,$S$3, E85&gt;=0.95,$S$4, E85&gt;= 0.93, $S$5, E85&gt;= 0.9,$S$6, E85&gt;= 0.85,$S$7, E85&gt;= 0.8,$S$8, E85&gt;= 0.75,$S$9, E85 &gt;= 0.7, $S$10, E85&gt;= 0.65, $S$11, E85&gt;= 0.6, $S$12, E85&gt;= 0.55,$S$13, E85 &gt;= 0.5,$S$14)</f>
        <v>0.42857142857142855</v>
      </c>
    </row>
    <row r="52" spans="1:15" ht="24" x14ac:dyDescent="0.25">
      <c r="A52" t="s">
        <v>76</v>
      </c>
      <c r="B52" t="s">
        <v>112</v>
      </c>
      <c r="C52">
        <v>-5.5</v>
      </c>
      <c r="D52" s="33" t="b">
        <v>1</v>
      </c>
      <c r="E52">
        <v>0.9425</v>
      </c>
      <c r="F52">
        <v>116</v>
      </c>
      <c r="G52">
        <v>96.5</v>
      </c>
      <c r="H52">
        <v>66.7</v>
      </c>
      <c r="I52">
        <v>119.3</v>
      </c>
      <c r="J52">
        <v>102.3</v>
      </c>
      <c r="K52">
        <v>69.7</v>
      </c>
      <c r="L52">
        <v>2.5300000000000011</v>
      </c>
      <c r="M52" t="s">
        <v>15</v>
      </c>
      <c r="N52" s="22">
        <v>45724</v>
      </c>
      <c r="O52" s="8" cm="1">
        <f t="array" ref="O52">_xlfn.IFS(E86&gt;=0.99,$S$3, E86&gt;=0.95,$S$4, E86&gt;= 0.93, $S$5, E86&gt;= 0.9,$S$6, E86&gt;= 0.85,$S$7, E86&gt;= 0.8,$S$8, E86&gt;= 0.75,$S$9, E86 &gt;= 0.7, $S$10, E86&gt;= 0.65, $S$11, E86&gt;= 0.6, $S$12, E86&gt;= 0.55,$S$13, E86 &gt;= 0.5,$S$14)</f>
        <v>0.42857142857142855</v>
      </c>
    </row>
    <row r="53" spans="1:15" ht="24" x14ac:dyDescent="0.25">
      <c r="A53" t="s">
        <v>182</v>
      </c>
      <c r="B53" t="s">
        <v>240</v>
      </c>
      <c r="C53">
        <v>-13</v>
      </c>
      <c r="D53" s="33" t="b">
        <v>1</v>
      </c>
      <c r="E53">
        <v>0.9325</v>
      </c>
      <c r="F53">
        <v>96.3</v>
      </c>
      <c r="G53">
        <v>106.7</v>
      </c>
      <c r="H53">
        <v>63.6</v>
      </c>
      <c r="I53">
        <v>100.7</v>
      </c>
      <c r="J53">
        <v>122.8</v>
      </c>
      <c r="K53">
        <v>66</v>
      </c>
      <c r="L53">
        <v>11.7</v>
      </c>
      <c r="M53" t="s">
        <v>18</v>
      </c>
      <c r="N53" s="22">
        <v>45724</v>
      </c>
      <c r="O53" s="8" cm="1">
        <f t="array" ref="O53">_xlfn.IFS(E87&gt;=0.99,$S$3, E87&gt;=0.95,$S$4, E87&gt;= 0.93, $S$5, E87&gt;= 0.9,$S$6, E87&gt;= 0.85,$S$7, E87&gt;= 0.8,$S$8, E87&gt;= 0.75,$S$9, E87 &gt;= 0.7, $S$10, E87&gt;= 0.65, $S$11, E87&gt;= 0.6, $S$12, E87&gt;= 0.55,$S$13, E87 &gt;= 0.5,$S$14)</f>
        <v>0.47619047619047616</v>
      </c>
    </row>
    <row r="54" spans="1:15" ht="24" x14ac:dyDescent="0.25">
      <c r="A54" t="s">
        <v>276</v>
      </c>
      <c r="B54" t="s">
        <v>277</v>
      </c>
      <c r="C54">
        <v>-4.5</v>
      </c>
      <c r="D54" s="33" t="b">
        <v>1</v>
      </c>
      <c r="E54">
        <v>0.91500000000000004</v>
      </c>
      <c r="F54">
        <v>110.8</v>
      </c>
      <c r="G54">
        <v>106.5</v>
      </c>
      <c r="H54">
        <v>64.7</v>
      </c>
      <c r="I54">
        <v>105.9</v>
      </c>
      <c r="J54">
        <v>105</v>
      </c>
      <c r="K54">
        <v>68.7</v>
      </c>
      <c r="L54">
        <v>3.37</v>
      </c>
      <c r="M54" t="s">
        <v>15</v>
      </c>
      <c r="N54" s="22">
        <v>45724</v>
      </c>
      <c r="O54" s="8" cm="1">
        <f t="array" ref="O54">_xlfn.IFS(E88&gt;=0.99,$S$3, E88&gt;=0.95,$S$4, E88&gt;= 0.93, $S$5, E88&gt;= 0.9,$S$6, E88&gt;= 0.85,$S$7, E88&gt;= 0.8,$S$8, E88&gt;= 0.75,$S$9, E88 &gt;= 0.7, $S$10, E88&gt;= 0.65, $S$11, E88&gt;= 0.6, $S$12, E88&gt;= 0.55,$S$13, E88 &gt;= 0.5,$S$14)</f>
        <v>0.75</v>
      </c>
    </row>
    <row r="55" spans="1:15" ht="24" x14ac:dyDescent="0.25">
      <c r="A55" t="s">
        <v>157</v>
      </c>
      <c r="B55" t="s">
        <v>62</v>
      </c>
      <c r="C55">
        <v>-7.5</v>
      </c>
      <c r="D55" s="33" t="b">
        <v>1</v>
      </c>
      <c r="E55">
        <v>0.91500000000000004</v>
      </c>
      <c r="F55">
        <v>109.1</v>
      </c>
      <c r="G55">
        <v>107.1</v>
      </c>
      <c r="H55">
        <v>70.599999999999994</v>
      </c>
      <c r="I55">
        <v>106.4</v>
      </c>
      <c r="J55">
        <v>111.5</v>
      </c>
      <c r="K55">
        <v>70</v>
      </c>
      <c r="L55">
        <v>7.15</v>
      </c>
      <c r="M55" t="s">
        <v>15</v>
      </c>
      <c r="N55" s="22">
        <v>45724</v>
      </c>
      <c r="O55" s="8" cm="1">
        <f t="array" ref="O55">_xlfn.IFS(E89&gt;=0.99,$S$3, E89&gt;=0.95,$S$4, E89&gt;= 0.93, $S$5, E89&gt;= 0.9,$S$6, E89&gt;= 0.85,$S$7, E89&gt;= 0.8,$S$8, E89&gt;= 0.75,$S$9, E89 &gt;= 0.7, $S$10, E89&gt;= 0.65, $S$11, E89&gt;= 0.6, $S$12, E89&gt;= 0.55,$S$13, E89 &gt;= 0.5,$S$14)</f>
        <v>0.5</v>
      </c>
    </row>
    <row r="56" spans="1:15" ht="24" x14ac:dyDescent="0.25">
      <c r="A56" t="s">
        <v>54</v>
      </c>
      <c r="B56" t="s">
        <v>85</v>
      </c>
      <c r="C56">
        <v>-5</v>
      </c>
      <c r="D56" s="33" t="b">
        <v>1</v>
      </c>
      <c r="E56">
        <v>0.9</v>
      </c>
      <c r="F56">
        <v>116.7</v>
      </c>
      <c r="G56">
        <v>99.9</v>
      </c>
      <c r="H56">
        <v>67.5</v>
      </c>
      <c r="I56">
        <v>118.2</v>
      </c>
      <c r="J56">
        <v>101.6</v>
      </c>
      <c r="K56">
        <v>68.7</v>
      </c>
      <c r="L56">
        <v>0.16999999999999821</v>
      </c>
      <c r="M56" t="s">
        <v>18</v>
      </c>
      <c r="N56" s="22">
        <v>45724</v>
      </c>
      <c r="O56" s="8" cm="1">
        <f t="array" ref="O56">_xlfn.IFS(E90&gt;=0.99,$S$3, E90&gt;=0.95,$S$4, E90&gt;= 0.93, $S$5, E90&gt;= 0.9,$S$6, E90&gt;= 0.85,$S$7, E90&gt;= 0.8,$S$8, E90&gt;= 0.75,$S$9, E90 &gt;= 0.7, $S$10, E90&gt;= 0.65, $S$11, E90&gt;= 0.6, $S$12, E90&gt;= 0.55,$S$13, E90 &gt;= 0.5,$S$14)</f>
        <v>0.5</v>
      </c>
    </row>
    <row r="57" spans="1:15" ht="24" x14ac:dyDescent="0.25">
      <c r="A57" t="s">
        <v>57</v>
      </c>
      <c r="B57" t="s">
        <v>196</v>
      </c>
      <c r="C57">
        <v>-5.5</v>
      </c>
      <c r="D57" s="33" t="b">
        <v>1</v>
      </c>
      <c r="E57">
        <v>0.89249999999999996</v>
      </c>
      <c r="F57">
        <v>109.2</v>
      </c>
      <c r="G57">
        <v>103.7</v>
      </c>
      <c r="H57">
        <v>67.5</v>
      </c>
      <c r="I57">
        <v>106.2</v>
      </c>
      <c r="J57">
        <v>103.6</v>
      </c>
      <c r="K57">
        <v>65.400000000000006</v>
      </c>
      <c r="L57">
        <v>2.86</v>
      </c>
      <c r="M57" t="s">
        <v>18</v>
      </c>
      <c r="N57" s="22">
        <v>45724</v>
      </c>
      <c r="O57" s="8" cm="1">
        <f t="array" ref="O57">_xlfn.IFS(E91&gt;=0.99,$S$3, E91&gt;=0.95,$S$4, E91&gt;= 0.93, $S$5, E91&gt;= 0.9,$S$6, E91&gt;= 0.85,$S$7, E91&gt;= 0.8,$S$8, E91&gt;= 0.75,$S$9, E91 &gt;= 0.7, $S$10, E91&gt;= 0.65, $S$11, E91&gt;= 0.6, $S$12, E91&gt;= 0.55,$S$13, E91 &gt;= 0.5,$S$14)</f>
        <v>0.5</v>
      </c>
    </row>
    <row r="58" spans="1:15" ht="24" x14ac:dyDescent="0.25">
      <c r="A58" t="s">
        <v>228</v>
      </c>
      <c r="B58" t="s">
        <v>45</v>
      </c>
      <c r="C58">
        <v>-7</v>
      </c>
      <c r="D58" s="33" t="b">
        <v>1</v>
      </c>
      <c r="E58">
        <v>0.88500000000000001</v>
      </c>
      <c r="F58">
        <v>106.8</v>
      </c>
      <c r="G58">
        <v>107</v>
      </c>
      <c r="H58">
        <v>66.3</v>
      </c>
      <c r="I58">
        <v>107.5</v>
      </c>
      <c r="J58">
        <v>111.9</v>
      </c>
      <c r="K58">
        <v>67.900000000000006</v>
      </c>
      <c r="L58">
        <v>4.1999999999999993</v>
      </c>
      <c r="M58" t="s">
        <v>18</v>
      </c>
      <c r="N58" s="22">
        <v>45724</v>
      </c>
      <c r="O58" s="8" cm="1">
        <f t="array" ref="O58">_xlfn.IFS(E92&gt;=0.99,$S$3, E92&gt;=0.95,$S$4, E92&gt;= 0.93, $S$5, E92&gt;= 0.9,$S$6, E92&gt;= 0.85,$S$7, E92&gt;= 0.8,$S$8, E92&gt;= 0.75,$S$9, E92 &gt;= 0.7, $S$10, E92&gt;= 0.65, $S$11, E92&gt;= 0.6, $S$12, E92&gt;= 0.55,$S$13, E92 &gt;= 0.5,$S$14)</f>
        <v>0.5</v>
      </c>
    </row>
    <row r="59" spans="1:15" ht="24" x14ac:dyDescent="0.25">
      <c r="A59" t="s">
        <v>113</v>
      </c>
      <c r="B59" t="s">
        <v>160</v>
      </c>
      <c r="C59">
        <v>-8</v>
      </c>
      <c r="D59" s="33" t="b">
        <v>1</v>
      </c>
      <c r="E59">
        <v>0.86499999999999999</v>
      </c>
      <c r="F59">
        <v>130.69999999999999</v>
      </c>
      <c r="G59">
        <v>94.3</v>
      </c>
      <c r="H59">
        <v>68.3</v>
      </c>
      <c r="I59">
        <v>127.2</v>
      </c>
      <c r="J59">
        <v>97.7</v>
      </c>
      <c r="K59">
        <v>75</v>
      </c>
      <c r="L59">
        <v>6.9600000000000009</v>
      </c>
      <c r="M59" t="s">
        <v>18</v>
      </c>
      <c r="N59" s="22">
        <v>45724</v>
      </c>
      <c r="O59" s="8" cm="1">
        <f t="array" ref="O59">_xlfn.IFS(E93&gt;=0.99,$S$3, E93&gt;=0.95,$S$4, E93&gt;= 0.93, $S$5, E93&gt;= 0.9,$S$6, E93&gt;= 0.85,$S$7, E93&gt;= 0.8,$S$8, E93&gt;= 0.75,$S$9, E93 &gt;= 0.7, $S$10, E93&gt;= 0.65, $S$11, E93&gt;= 0.6, $S$12, E93&gt;= 0.55,$S$13, E93 &gt;= 0.5,$S$14)</f>
        <v>0.6875</v>
      </c>
    </row>
    <row r="60" spans="1:15" ht="24" x14ac:dyDescent="0.25">
      <c r="A60" t="s">
        <v>243</v>
      </c>
      <c r="B60" t="s">
        <v>190</v>
      </c>
      <c r="C60">
        <v>-4.5</v>
      </c>
      <c r="D60" s="33" t="b">
        <v>1</v>
      </c>
      <c r="E60">
        <v>0.82499999999999996</v>
      </c>
      <c r="F60">
        <v>97.6</v>
      </c>
      <c r="G60">
        <v>106.1</v>
      </c>
      <c r="H60">
        <v>68.8</v>
      </c>
      <c r="I60">
        <v>105.6</v>
      </c>
      <c r="J60">
        <v>113.3</v>
      </c>
      <c r="K60">
        <v>70.5</v>
      </c>
      <c r="L60">
        <v>-0.79999999999999982</v>
      </c>
      <c r="M60" t="s">
        <v>18</v>
      </c>
      <c r="N60" s="22">
        <v>45724</v>
      </c>
      <c r="O60" s="8" cm="1">
        <f t="array" ref="O60">_xlfn.IFS(E94&gt;=0.99,$S$3, E94&gt;=0.95,$S$4, E94&gt;= 0.93, $S$5, E94&gt;= 0.9,$S$6, E94&gt;= 0.85,$S$7, E94&gt;= 0.8,$S$8, E94&gt;= 0.75,$S$9, E94 &gt;= 0.7, $S$10, E94&gt;= 0.65, $S$11, E94&gt;= 0.6, $S$12, E94&gt;= 0.55,$S$13, E94 &gt;= 0.5,$S$14)</f>
        <v>0.3</v>
      </c>
    </row>
    <row r="61" spans="1:15" ht="24" x14ac:dyDescent="0.25">
      <c r="A61" t="s">
        <v>114</v>
      </c>
      <c r="B61" t="s">
        <v>115</v>
      </c>
      <c r="C61">
        <v>-7</v>
      </c>
      <c r="D61" s="33" t="b">
        <v>1</v>
      </c>
      <c r="E61">
        <v>0.80500000000000005</v>
      </c>
      <c r="F61">
        <v>103.8</v>
      </c>
      <c r="G61">
        <v>112.4</v>
      </c>
      <c r="H61">
        <v>67.599999999999994</v>
      </c>
      <c r="I61">
        <v>99.3</v>
      </c>
      <c r="J61">
        <v>113.1</v>
      </c>
      <c r="K61">
        <v>66</v>
      </c>
      <c r="L61">
        <v>5.1400000000000006</v>
      </c>
      <c r="M61" t="s">
        <v>18</v>
      </c>
      <c r="N61" s="22">
        <v>45724</v>
      </c>
      <c r="O61" s="8" cm="1">
        <f t="array" ref="O61">_xlfn.IFS(E95&gt;=0.99,$S$3, E95&gt;=0.95,$S$4, E95&gt;= 0.93, $S$5, E95&gt;= 0.9,$S$6, E95&gt;= 0.85,$S$7, E95&gt;= 0.8,$S$8, E95&gt;= 0.75,$S$9, E95 &gt;= 0.7, $S$10, E95&gt;= 0.65, $S$11, E95&gt;= 0.6, $S$12, E95&gt;= 0.55,$S$13, E95 &gt;= 0.5,$S$14)</f>
        <v>0.3</v>
      </c>
    </row>
    <row r="62" spans="1:15" ht="24" x14ac:dyDescent="0.25">
      <c r="A62" t="s">
        <v>239</v>
      </c>
      <c r="B62" t="s">
        <v>55</v>
      </c>
      <c r="C62">
        <v>-7</v>
      </c>
      <c r="D62" s="33" t="b">
        <v>1</v>
      </c>
      <c r="E62">
        <v>0.79749999999999999</v>
      </c>
      <c r="F62">
        <v>105.4</v>
      </c>
      <c r="G62">
        <v>107.8</v>
      </c>
      <c r="H62">
        <v>66.8</v>
      </c>
      <c r="I62">
        <v>104.4</v>
      </c>
      <c r="J62">
        <v>114.5</v>
      </c>
      <c r="K62">
        <v>67</v>
      </c>
      <c r="L62">
        <v>7.7199999999999989</v>
      </c>
      <c r="M62" t="s">
        <v>15</v>
      </c>
      <c r="N62" s="22">
        <v>45724</v>
      </c>
      <c r="O62" s="8" cm="1">
        <f t="array" ref="O62">_xlfn.IFS(E96&gt;=0.99,$S$3, E96&gt;=0.95,$S$4, E96&gt;= 0.93, $S$5, E96&gt;= 0.9,$S$6, E96&gt;= 0.85,$S$7, E96&gt;= 0.8,$S$8, E96&gt;= 0.75,$S$9, E96 &gt;= 0.7, $S$10, E96&gt;= 0.65, $S$11, E96&gt;= 0.6, $S$12, E96&gt;= 0.55,$S$13, E96 &gt;= 0.5,$S$14)</f>
        <v>0.3</v>
      </c>
    </row>
    <row r="63" spans="1:15" ht="24" x14ac:dyDescent="0.25">
      <c r="A63" t="s">
        <v>184</v>
      </c>
      <c r="B63" t="s">
        <v>188</v>
      </c>
      <c r="C63">
        <v>-3</v>
      </c>
      <c r="D63" s="33" t="b">
        <v>1</v>
      </c>
      <c r="E63">
        <v>0.72250000000000003</v>
      </c>
      <c r="F63">
        <v>100.9</v>
      </c>
      <c r="G63">
        <v>115</v>
      </c>
      <c r="H63">
        <v>65.3</v>
      </c>
      <c r="I63">
        <v>100.7</v>
      </c>
      <c r="J63">
        <v>115.7</v>
      </c>
      <c r="K63">
        <v>65</v>
      </c>
      <c r="L63">
        <v>0.88000000000000078</v>
      </c>
      <c r="M63" t="s">
        <v>18</v>
      </c>
      <c r="N63" s="22">
        <v>45724</v>
      </c>
      <c r="O63" s="8" cm="1">
        <f t="array" ref="O63">_xlfn.IFS(E97&gt;=0.99,$S$3, E97&gt;=0.95,$S$4, E97&gt;= 0.93, $S$5, E97&gt;= 0.9,$S$6, E97&gt;= 0.85,$S$7, E97&gt;= 0.8,$S$8, E97&gt;= 0.75,$S$9, E97 &gt;= 0.7, $S$10, E97&gt;= 0.65, $S$11, E97&gt;= 0.6, $S$12, E97&gt;= 0.55,$S$13, E97 &gt;= 0.5,$S$14)</f>
        <v>0.3</v>
      </c>
    </row>
    <row r="64" spans="1:15" ht="24" x14ac:dyDescent="0.25">
      <c r="A64" t="s">
        <v>84</v>
      </c>
      <c r="B64" t="s">
        <v>173</v>
      </c>
      <c r="C64">
        <v>-5.5</v>
      </c>
      <c r="D64" s="33" t="b">
        <v>1</v>
      </c>
      <c r="E64">
        <v>0.71499999999999997</v>
      </c>
      <c r="F64">
        <v>126.1</v>
      </c>
      <c r="G64">
        <v>100.3</v>
      </c>
      <c r="H64">
        <v>68.3</v>
      </c>
      <c r="I64">
        <v>125.2</v>
      </c>
      <c r="J64">
        <v>100.3</v>
      </c>
      <c r="K64">
        <v>71</v>
      </c>
      <c r="L64">
        <v>0.83999999999999986</v>
      </c>
      <c r="M64" t="s">
        <v>18</v>
      </c>
      <c r="N64" s="22">
        <v>45724</v>
      </c>
      <c r="O64" s="8" cm="1">
        <f t="array" ref="O64">_xlfn.IFS(E98&gt;=0.99,$S$3, E98&gt;=0.95,$S$4, E98&gt;= 0.93, $S$5, E98&gt;= 0.9,$S$6, E98&gt;= 0.85,$S$7, E98&gt;= 0.8,$S$8, E98&gt;= 0.75,$S$9, E98 &gt;= 0.7, $S$10, E98&gt;= 0.65, $S$11, E98&gt;= 0.6, $S$12, E98&gt;= 0.55,$S$13, E98 &gt;= 0.5,$S$14)</f>
        <v>0.47222222222222221</v>
      </c>
    </row>
    <row r="65" spans="1:15" ht="24" x14ac:dyDescent="0.25">
      <c r="A65" t="s">
        <v>214</v>
      </c>
      <c r="B65" t="s">
        <v>81</v>
      </c>
      <c r="C65">
        <v>-2.5</v>
      </c>
      <c r="D65" s="33" t="b">
        <v>1</v>
      </c>
      <c r="E65">
        <v>0.6875</v>
      </c>
      <c r="F65">
        <v>107.5</v>
      </c>
      <c r="G65">
        <v>100.3</v>
      </c>
      <c r="H65">
        <v>67.5</v>
      </c>
      <c r="I65">
        <v>106.8</v>
      </c>
      <c r="J65">
        <v>97.2</v>
      </c>
      <c r="K65">
        <v>66.7</v>
      </c>
      <c r="L65">
        <v>-2.3800000000000008</v>
      </c>
      <c r="M65" t="s">
        <v>15</v>
      </c>
      <c r="N65" s="22">
        <v>45724</v>
      </c>
      <c r="O65" s="8" cm="1">
        <f t="array" ref="O65">_xlfn.IFS(E99&gt;=0.99,$S$3, E99&gt;=0.95,$S$4, E99&gt;= 0.93, $S$5, E99&gt;= 0.9,$S$6, E99&gt;= 0.85,$S$7, E99&gt;= 0.8,$S$8, E99&gt;= 0.75,$S$9, E99 &gt;= 0.7, $S$10, E99&gt;= 0.65, $S$11, E99&gt;= 0.6, $S$12, E99&gt;= 0.55,$S$13, E99 &gt;= 0.5,$S$14)</f>
        <v>0.47222222222222221</v>
      </c>
    </row>
    <row r="66" spans="1:15" ht="24" x14ac:dyDescent="0.25">
      <c r="A66" t="s">
        <v>110</v>
      </c>
      <c r="B66" t="s">
        <v>217</v>
      </c>
      <c r="C66">
        <v>-2.5</v>
      </c>
      <c r="D66" s="33" t="b">
        <v>1</v>
      </c>
      <c r="E66">
        <v>0.65500000000000003</v>
      </c>
      <c r="F66">
        <v>113.9</v>
      </c>
      <c r="G66">
        <v>106.3</v>
      </c>
      <c r="H66">
        <v>65.2</v>
      </c>
      <c r="I66">
        <v>111.3</v>
      </c>
      <c r="J66">
        <v>107.1</v>
      </c>
      <c r="K66">
        <v>67.8</v>
      </c>
      <c r="L66">
        <v>3.44</v>
      </c>
      <c r="M66" t="s">
        <v>18</v>
      </c>
      <c r="N66" s="22">
        <v>45724</v>
      </c>
      <c r="O66" s="8" cm="1">
        <f t="array" ref="O66">_xlfn.IFS(E100&gt;=0.99,$S$3, E100&gt;=0.95,$S$4, E100&gt;= 0.93, $S$5, E100&gt;= 0.9,$S$6, E100&gt;= 0.85,$S$7, E100&gt;= 0.8,$S$8, E100&gt;= 0.75,$S$9, E100 &gt;= 0.7, $S$10, E100&gt;= 0.65, $S$11, E100&gt;= 0.6, $S$12, E100&gt;= 0.55,$S$13, E100 &gt;= 0.5,$S$14)</f>
        <v>0.45</v>
      </c>
    </row>
    <row r="67" spans="1:15" ht="24" x14ac:dyDescent="0.25">
      <c r="A67" t="s">
        <v>111</v>
      </c>
      <c r="B67" t="s">
        <v>90</v>
      </c>
      <c r="C67">
        <v>-1</v>
      </c>
      <c r="D67" s="33" t="b">
        <v>1</v>
      </c>
      <c r="E67">
        <v>0.58250000000000002</v>
      </c>
      <c r="F67">
        <v>102</v>
      </c>
      <c r="G67">
        <v>110.4</v>
      </c>
      <c r="H67">
        <v>65.8</v>
      </c>
      <c r="I67">
        <v>101.7</v>
      </c>
      <c r="J67">
        <v>103.8</v>
      </c>
      <c r="K67">
        <v>71.3</v>
      </c>
      <c r="L67">
        <v>-6.3299999999999992</v>
      </c>
      <c r="M67" t="s">
        <v>15</v>
      </c>
      <c r="N67" s="22">
        <v>45724</v>
      </c>
      <c r="O67" s="8" cm="1">
        <f t="array" ref="O67">_xlfn.IFS(E101&gt;=0.99,$S$3, E101&gt;=0.95,$S$4, E101&gt;= 0.93, $S$5, E101&gt;= 0.9,$S$6, E101&gt;= 0.85,$S$7, E101&gt;= 0.8,$S$8, E101&gt;= 0.75,$S$9, E101 &gt;= 0.7, $S$10, E101&gt;= 0.65, $S$11, E101&gt;= 0.6, $S$12, E101&gt;= 0.55,$S$13, E101 &gt;= 0.5,$S$14)</f>
        <v>0.45</v>
      </c>
    </row>
    <row r="68" spans="1:15" ht="24" x14ac:dyDescent="0.25">
      <c r="A68" t="s">
        <v>185</v>
      </c>
      <c r="B68" t="s">
        <v>189</v>
      </c>
      <c r="C68">
        <v>-3.5</v>
      </c>
      <c r="D68" s="33" t="b">
        <v>0</v>
      </c>
      <c r="E68">
        <v>0.52500000000000002</v>
      </c>
      <c r="F68">
        <v>108.7</v>
      </c>
      <c r="G68">
        <v>115.3</v>
      </c>
      <c r="H68">
        <v>67.599999999999994</v>
      </c>
      <c r="I68">
        <v>104.1</v>
      </c>
      <c r="J68">
        <v>110.5</v>
      </c>
      <c r="K68">
        <v>67.2</v>
      </c>
      <c r="L68">
        <v>-0.1699999999999999</v>
      </c>
      <c r="M68" t="s">
        <v>18</v>
      </c>
      <c r="N68" s="22">
        <v>45724</v>
      </c>
      <c r="O68" s="8" cm="1">
        <f t="array" ref="O68">_xlfn.IFS(E102&gt;=0.99,$S$3, E102&gt;=0.95,$S$4, E102&gt;= 0.93, $S$5, E102&gt;= 0.9,$S$6, E102&gt;= 0.85,$S$7, E102&gt;= 0.8,$S$8, E102&gt;= 0.75,$S$9, E102 &gt;= 0.7, $S$10, E102&gt;= 0.65, $S$11, E102&gt;= 0.6, $S$12, E102&gt;= 0.55,$S$13, E102 &gt;= 0.5,$S$14)</f>
        <v>0.75</v>
      </c>
    </row>
    <row r="69" spans="1:15" ht="24" x14ac:dyDescent="0.25">
      <c r="A69" t="s">
        <v>16</v>
      </c>
      <c r="B69" t="s">
        <v>126</v>
      </c>
      <c r="C69">
        <v>-3.5</v>
      </c>
      <c r="D69" s="33" t="b">
        <v>0</v>
      </c>
      <c r="E69">
        <v>0.50249999999999995</v>
      </c>
      <c r="F69">
        <v>115.2</v>
      </c>
      <c r="G69">
        <v>91.7</v>
      </c>
      <c r="H69">
        <v>68.8</v>
      </c>
      <c r="I69">
        <v>121.6</v>
      </c>
      <c r="J69">
        <v>96.4</v>
      </c>
      <c r="K69">
        <v>70.400000000000006</v>
      </c>
      <c r="L69">
        <v>-1.7100000000000011</v>
      </c>
      <c r="M69" t="s">
        <v>15</v>
      </c>
      <c r="N69" s="22">
        <v>45724</v>
      </c>
      <c r="O69" s="8" cm="1">
        <f t="array" ref="O69">_xlfn.IFS(E103&gt;=0.99,$S$3, E103&gt;=0.95,$S$4, E103&gt;= 0.93, $S$5, E103&gt;= 0.9,$S$6, E103&gt;= 0.85,$S$7, E103&gt;= 0.8,$S$8, E103&gt;= 0.75,$S$9, E103 &gt;= 0.7, $S$10, E103&gt;= 0.65, $S$11, E103&gt;= 0.6, $S$12, E103&gt;= 0.55,$S$13, E103 &gt;= 0.5,$S$14)</f>
        <v>0.33333333333333331</v>
      </c>
    </row>
    <row r="70" spans="1:15" ht="24" x14ac:dyDescent="0.25">
      <c r="A70" t="s">
        <v>271</v>
      </c>
      <c r="B70" t="s">
        <v>168</v>
      </c>
      <c r="C70">
        <v>-11</v>
      </c>
      <c r="D70" s="33" t="b">
        <v>1</v>
      </c>
      <c r="E70">
        <v>0.99750000000000005</v>
      </c>
      <c r="F70">
        <v>113.3</v>
      </c>
      <c r="G70">
        <v>96</v>
      </c>
      <c r="H70">
        <v>73.400000000000006</v>
      </c>
      <c r="I70">
        <v>108.7</v>
      </c>
      <c r="J70">
        <v>100.3</v>
      </c>
      <c r="K70">
        <v>66</v>
      </c>
      <c r="L70">
        <v>9.07</v>
      </c>
      <c r="M70" t="s">
        <v>15</v>
      </c>
      <c r="N70" s="22">
        <v>45723</v>
      </c>
      <c r="O70" s="8" cm="1">
        <f t="array" ref="O70">_xlfn.IFS(E104&gt;=0.99,$S$3, E104&gt;=0.95,$S$4, E104&gt;= 0.93, $S$5, E104&gt;= 0.9,$S$6, E104&gt;= 0.85,$S$7, E104&gt;= 0.8,$S$8, E104&gt;= 0.75,$S$9, E104 &gt;= 0.7, $S$10, E104&gt;= 0.65, $S$11, E104&gt;= 0.6, $S$12, E104&gt;= 0.55,$S$13, E104 &gt;= 0.5,$S$14)</f>
        <v>0.47222222222222221</v>
      </c>
    </row>
    <row r="71" spans="1:15" ht="24" x14ac:dyDescent="0.25">
      <c r="A71" t="s">
        <v>58</v>
      </c>
      <c r="B71" t="s">
        <v>238</v>
      </c>
      <c r="C71">
        <v>-9</v>
      </c>
      <c r="D71" s="33" t="b">
        <v>1</v>
      </c>
      <c r="E71">
        <v>0.995</v>
      </c>
      <c r="F71">
        <v>116.8</v>
      </c>
      <c r="G71">
        <v>95.5</v>
      </c>
      <c r="H71">
        <v>66.5</v>
      </c>
      <c r="I71">
        <v>116</v>
      </c>
      <c r="J71">
        <v>105.6</v>
      </c>
      <c r="K71">
        <v>66.2</v>
      </c>
      <c r="L71">
        <v>10.81</v>
      </c>
      <c r="M71" t="s">
        <v>18</v>
      </c>
      <c r="N71" s="22">
        <v>45723</v>
      </c>
      <c r="O71" s="8" cm="1">
        <f t="array" ref="O71">_xlfn.IFS(E105&gt;=0.99,$S$3, E105&gt;=0.95,$S$4, E105&gt;= 0.93, $S$5, E105&gt;= 0.9,$S$6, E105&gt;= 0.85,$S$7, E105&gt;= 0.8,$S$8, E105&gt;= 0.75,$S$9, E105 &gt;= 0.7, $S$10, E105&gt;= 0.65, $S$11, E105&gt;= 0.6, $S$12, E105&gt;= 0.55,$S$13, E105 &gt;= 0.5,$S$14)</f>
        <v>0.47222222222222221</v>
      </c>
    </row>
    <row r="72" spans="1:15" ht="24" x14ac:dyDescent="0.25">
      <c r="A72" t="s">
        <v>272</v>
      </c>
      <c r="B72" t="s">
        <v>273</v>
      </c>
      <c r="C72">
        <v>-19</v>
      </c>
      <c r="D72" s="33" t="b">
        <v>1</v>
      </c>
      <c r="E72">
        <v>0.98</v>
      </c>
      <c r="F72">
        <v>112.5</v>
      </c>
      <c r="G72">
        <v>106.3</v>
      </c>
      <c r="H72">
        <v>72.3</v>
      </c>
      <c r="I72">
        <v>96.2</v>
      </c>
      <c r="J72">
        <v>113.9</v>
      </c>
      <c r="K72">
        <v>71.2</v>
      </c>
      <c r="L72">
        <v>23.92</v>
      </c>
      <c r="M72" t="s">
        <v>18</v>
      </c>
      <c r="N72" s="22">
        <v>45723</v>
      </c>
      <c r="O72" s="8" cm="1">
        <f t="array" ref="O72">_xlfn.IFS(E106&gt;=0.99,$S$3, E106&gt;=0.95,$S$4, E106&gt;= 0.93, $S$5, E106&gt;= 0.9,$S$6, E106&gt;= 0.85,$S$7, E106&gt;= 0.8,$S$8, E106&gt;= 0.75,$S$9, E106 &gt;= 0.7, $S$10, E106&gt;= 0.65, $S$11, E106&gt;= 0.6, $S$12, E106&gt;= 0.55,$S$13, E106 &gt;= 0.5,$S$14)</f>
        <v>0.47222222222222221</v>
      </c>
    </row>
    <row r="73" spans="1:15" ht="24" x14ac:dyDescent="0.25">
      <c r="A73" t="s">
        <v>67</v>
      </c>
      <c r="B73" t="s">
        <v>134</v>
      </c>
      <c r="C73">
        <v>-4.5</v>
      </c>
      <c r="D73" s="33" t="b">
        <v>1</v>
      </c>
      <c r="E73">
        <v>0.78249999999999997</v>
      </c>
      <c r="F73">
        <v>121.8</v>
      </c>
      <c r="G73">
        <v>97.4</v>
      </c>
      <c r="H73">
        <v>71.5</v>
      </c>
      <c r="I73">
        <v>124.8</v>
      </c>
      <c r="J73">
        <v>99.4</v>
      </c>
      <c r="K73">
        <v>65.3</v>
      </c>
      <c r="L73">
        <v>-1.0200000000000029</v>
      </c>
      <c r="M73" t="s">
        <v>15</v>
      </c>
      <c r="N73" s="22">
        <v>45723</v>
      </c>
      <c r="O73" s="8" cm="1">
        <f t="array" ref="O73">_xlfn.IFS(E107&gt;=0.99,$S$3, E107&gt;=0.95,$S$4, E107&gt;= 0.93, $S$5, E107&gt;= 0.9,$S$6, E107&gt;= 0.85,$S$7, E107&gt;= 0.8,$S$8, E107&gt;= 0.75,$S$9, E107 &gt;= 0.7, $S$10, E107&gt;= 0.65, $S$11, E107&gt;= 0.6, $S$12, E107&gt;= 0.55,$S$13, E107 &gt;= 0.5,$S$14)</f>
        <v>0.72727272727272729</v>
      </c>
    </row>
    <row r="74" spans="1:15" ht="24" x14ac:dyDescent="0.25">
      <c r="A74" t="s">
        <v>44</v>
      </c>
      <c r="B74" t="s">
        <v>229</v>
      </c>
      <c r="C74">
        <v>-16</v>
      </c>
      <c r="D74" s="33" t="b">
        <v>1</v>
      </c>
      <c r="E74">
        <v>0.96499999999999997</v>
      </c>
      <c r="F74">
        <v>105.7</v>
      </c>
      <c r="G74">
        <v>99.3</v>
      </c>
      <c r="H74">
        <v>71.900000000000006</v>
      </c>
      <c r="I74">
        <v>103.1</v>
      </c>
      <c r="J74">
        <v>114.4</v>
      </c>
      <c r="K74">
        <v>67.5</v>
      </c>
      <c r="L74">
        <v>17.739999999999998</v>
      </c>
      <c r="M74" t="s">
        <v>15</v>
      </c>
      <c r="N74" s="22">
        <v>45722</v>
      </c>
      <c r="O74" s="8" cm="1">
        <f t="array" ref="O74">_xlfn.IFS(E108&gt;=0.99,$S$3, E108&gt;=0.95,$S$4, E108&gt;= 0.93, $S$5, E108&gt;= 0.9,$S$6, E108&gt;= 0.85,$S$7, E108&gt;= 0.8,$S$8, E108&gt;= 0.75,$S$9, E108 &gt;= 0.7, $S$10, E108&gt;= 0.65, $S$11, E108&gt;= 0.6, $S$12, E108&gt;= 0.55,$S$13, E108 &gt;= 0.5,$S$14)</f>
        <v>0.75</v>
      </c>
    </row>
    <row r="75" spans="1:15" ht="24" x14ac:dyDescent="0.25">
      <c r="A75" t="s">
        <v>187</v>
      </c>
      <c r="B75" t="s">
        <v>185</v>
      </c>
      <c r="C75">
        <v>-9</v>
      </c>
      <c r="D75" s="33" t="b">
        <v>1</v>
      </c>
      <c r="E75">
        <v>0.9375</v>
      </c>
      <c r="F75">
        <v>104.1</v>
      </c>
      <c r="G75">
        <v>110.5</v>
      </c>
      <c r="H75">
        <v>67.2</v>
      </c>
      <c r="I75">
        <v>99.6</v>
      </c>
      <c r="J75">
        <v>116.3</v>
      </c>
      <c r="K75">
        <v>65.599999999999994</v>
      </c>
      <c r="L75">
        <v>10.28</v>
      </c>
      <c r="M75" t="s">
        <v>18</v>
      </c>
      <c r="N75" s="22">
        <v>45722</v>
      </c>
      <c r="O75" s="8" cm="1">
        <f t="array" ref="O75">_xlfn.IFS(E109&gt;=0.99,$S$3, E109&gt;=0.95,$S$4, E109&gt;= 0.93, $S$5, E109&gt;= 0.9,$S$6, E109&gt;= 0.85,$S$7, E109&gt;= 0.8,$S$8, E109&gt;= 0.75,$S$9, E109 &gt;= 0.7, $S$10, E109&gt;= 0.65, $S$11, E109&gt;= 0.6, $S$12, E109&gt;= 0.55,$S$13, E109 &gt;= 0.5,$S$14)</f>
        <v>0.33333333333333331</v>
      </c>
    </row>
    <row r="76" spans="1:15" ht="24" x14ac:dyDescent="0.25">
      <c r="A76" t="s">
        <v>184</v>
      </c>
      <c r="B76" t="s">
        <v>240</v>
      </c>
      <c r="C76">
        <v>-4.5</v>
      </c>
      <c r="D76" s="33" t="b">
        <v>1</v>
      </c>
      <c r="E76">
        <v>0.82750000000000001</v>
      </c>
      <c r="F76">
        <v>96.3</v>
      </c>
      <c r="G76">
        <v>106.7</v>
      </c>
      <c r="H76">
        <v>63.6</v>
      </c>
      <c r="I76">
        <v>100.7</v>
      </c>
      <c r="J76">
        <v>115.7</v>
      </c>
      <c r="K76">
        <v>65</v>
      </c>
      <c r="L76">
        <v>4.5599999999999996</v>
      </c>
      <c r="M76" t="s">
        <v>18</v>
      </c>
      <c r="N76" s="22">
        <v>45722</v>
      </c>
      <c r="O76" s="8" cm="1">
        <f t="array" ref="O76">_xlfn.IFS(E110&gt;=0.99,$S$3, E110&gt;=0.95,$S$4, E110&gt;= 0.93, $S$5, E110&gt;= 0.9,$S$6, E110&gt;= 0.85,$S$7, E110&gt;= 0.8,$S$8, E110&gt;= 0.75,$S$9, E110 &gt;= 0.7, $S$10, E110&gt;= 0.65, $S$11, E110&gt;= 0.6, $S$12, E110&gt;= 0.55,$S$13, E110 &gt;= 0.5,$S$14)</f>
        <v>0.56666666666666665</v>
      </c>
    </row>
    <row r="77" spans="1:15" ht="24" x14ac:dyDescent="0.25">
      <c r="A77" t="s">
        <v>182</v>
      </c>
      <c r="B77" t="s">
        <v>188</v>
      </c>
      <c r="C77">
        <v>-8</v>
      </c>
      <c r="D77" s="33" t="b">
        <v>1</v>
      </c>
      <c r="E77">
        <v>0.66749999999999998</v>
      </c>
      <c r="F77">
        <v>100.9</v>
      </c>
      <c r="G77">
        <v>115</v>
      </c>
      <c r="H77">
        <v>65.3</v>
      </c>
      <c r="I77">
        <v>100.7</v>
      </c>
      <c r="J77">
        <v>122.8</v>
      </c>
      <c r="K77">
        <v>66</v>
      </c>
      <c r="L77">
        <v>8.0200000000000014</v>
      </c>
      <c r="M77" t="s">
        <v>15</v>
      </c>
      <c r="N77" s="22">
        <v>45722</v>
      </c>
      <c r="O77" s="8" cm="1">
        <f t="array" ref="O77">_xlfn.IFS(E111&gt;=0.99,$S$3, E111&gt;=0.95,$S$4, E111&gt;= 0.93, $S$5, E111&gt;= 0.9,$S$6, E111&gt;= 0.85,$S$7, E111&gt;= 0.8,$S$8, E111&gt;= 0.75,$S$9, E111 &gt;= 0.7, $S$10, E111&gt;= 0.65, $S$11, E111&gt;= 0.6, $S$12, E111&gt;= 0.55,$S$13, E111 &gt;= 0.5,$S$14)</f>
        <v>0.56666666666666665</v>
      </c>
    </row>
    <row r="78" spans="1:15" ht="24" x14ac:dyDescent="0.25">
      <c r="A78" t="s">
        <v>232</v>
      </c>
      <c r="B78" t="s">
        <v>233</v>
      </c>
      <c r="C78">
        <v>-6.5</v>
      </c>
      <c r="D78" s="33" t="b">
        <v>1</v>
      </c>
      <c r="E78">
        <v>0.65749999999999997</v>
      </c>
      <c r="F78">
        <v>108.3</v>
      </c>
      <c r="G78">
        <v>105.9</v>
      </c>
      <c r="H78">
        <v>68.8</v>
      </c>
      <c r="I78">
        <v>107.4</v>
      </c>
      <c r="J78">
        <v>109.6</v>
      </c>
      <c r="K78">
        <v>64</v>
      </c>
      <c r="L78">
        <v>4.5199999999999996</v>
      </c>
      <c r="M78" t="s">
        <v>18</v>
      </c>
      <c r="N78" s="22">
        <v>45722</v>
      </c>
      <c r="O78" s="8" cm="1">
        <f t="array" ref="O78">_xlfn.IFS(E112&gt;=0.99,$S$3, E112&gt;=0.95,$S$4, E112&gt;= 0.93, $S$5, E112&gt;= 0.9,$S$6, E112&gt;= 0.85,$S$7, E112&gt;= 0.8,$S$8, E112&gt;= 0.75,$S$9, E112 &gt;= 0.7, $S$10, E112&gt;= 0.65, $S$11, E112&gt;= 0.6, $S$12, E112&gt;= 0.55,$S$13, E112 &gt;= 0.5,$S$14)</f>
        <v>0.56666666666666665</v>
      </c>
    </row>
    <row r="79" spans="1:15" ht="24" x14ac:dyDescent="0.25">
      <c r="A79" t="s">
        <v>262</v>
      </c>
      <c r="B79" t="s">
        <v>202</v>
      </c>
      <c r="C79">
        <v>-4.5</v>
      </c>
      <c r="D79" s="33" t="b">
        <v>1</v>
      </c>
      <c r="E79">
        <v>0.56499999999999995</v>
      </c>
      <c r="F79">
        <v>117.2</v>
      </c>
      <c r="G79">
        <v>112.1</v>
      </c>
      <c r="H79">
        <v>69.3</v>
      </c>
      <c r="I79">
        <v>113</v>
      </c>
      <c r="J79">
        <v>108.6</v>
      </c>
      <c r="K79">
        <v>69.400000000000006</v>
      </c>
      <c r="L79">
        <v>0.77000000000000046</v>
      </c>
      <c r="M79" t="s">
        <v>15</v>
      </c>
      <c r="N79" s="22">
        <v>45722</v>
      </c>
      <c r="O79" s="8" cm="1">
        <f t="array" ref="O79">_xlfn.IFS(E113&gt;=0.99,$S$3, E113&gt;=0.95,$S$4, E113&gt;= 0.93, $S$5, E113&gt;= 0.9,$S$6, E113&gt;= 0.85,$S$7, E113&gt;= 0.8,$S$8, E113&gt;= 0.75,$S$9, E113 &gt;= 0.7, $S$10, E113&gt;= 0.65, $S$11, E113&gt;= 0.6, $S$12, E113&gt;= 0.55,$S$13, E113 &gt;= 0.5,$S$14)</f>
        <v>0.5</v>
      </c>
    </row>
    <row r="80" spans="1:15" ht="24" x14ac:dyDescent="0.25">
      <c r="A80" t="s">
        <v>243</v>
      </c>
      <c r="B80" t="s">
        <v>189</v>
      </c>
      <c r="C80">
        <v>-2</v>
      </c>
      <c r="D80" s="33" t="b">
        <v>1</v>
      </c>
      <c r="E80">
        <v>0.53249999999999997</v>
      </c>
      <c r="F80">
        <v>108.7</v>
      </c>
      <c r="G80">
        <v>115.3</v>
      </c>
      <c r="H80">
        <v>67.599999999999994</v>
      </c>
      <c r="I80">
        <v>105.6</v>
      </c>
      <c r="J80">
        <v>113.3</v>
      </c>
      <c r="K80">
        <v>70.5</v>
      </c>
      <c r="L80">
        <v>1.100000000000001</v>
      </c>
      <c r="M80" t="s">
        <v>15</v>
      </c>
      <c r="N80" s="22">
        <v>45722</v>
      </c>
      <c r="O80" s="8" cm="1">
        <f t="array" ref="O80">_xlfn.IFS(E114&gt;=0.99,$S$3, E114&gt;=0.95,$S$4, E114&gt;= 0.93, $S$5, E114&gt;= 0.9,$S$6, E114&gt;= 0.85,$S$7, E114&gt;= 0.8,$S$8, E114&gt;= 0.75,$S$9, E114 &gt;= 0.7, $S$10, E114&gt;= 0.65, $S$11, E114&gt;= 0.6, $S$12, E114&gt;= 0.55,$S$13, E114 &gt;= 0.5,$S$14)</f>
        <v>0.5</v>
      </c>
    </row>
    <row r="81" spans="1:15" ht="24" x14ac:dyDescent="0.25">
      <c r="A81" t="s">
        <v>110</v>
      </c>
      <c r="B81" t="s">
        <v>244</v>
      </c>
      <c r="C81">
        <v>-14.5</v>
      </c>
      <c r="D81" s="33" t="b">
        <v>1</v>
      </c>
      <c r="E81">
        <v>1</v>
      </c>
      <c r="F81">
        <v>118.8</v>
      </c>
      <c r="G81">
        <v>96.3</v>
      </c>
      <c r="H81">
        <v>69.2</v>
      </c>
      <c r="I81">
        <v>111.4</v>
      </c>
      <c r="J81">
        <v>107.2</v>
      </c>
      <c r="K81">
        <v>67.900000000000006</v>
      </c>
      <c r="L81">
        <v>18.350000000000001</v>
      </c>
      <c r="M81" t="s">
        <v>15</v>
      </c>
      <c r="N81" s="22">
        <v>45721</v>
      </c>
      <c r="O81" s="8" cm="1">
        <f t="array" ref="O81">_xlfn.IFS(E115&gt;=0.99,$S$3, E115&gt;=0.95,$S$4, E115&gt;= 0.93, $S$5, E115&gt;= 0.9,$S$6, E115&gt;= 0.85,$S$7, E115&gt;= 0.8,$S$8, E115&gt;= 0.75,$S$9, E115 &gt;= 0.7, $S$10, E115&gt;= 0.65, $S$11, E115&gt;= 0.6, $S$12, E115&gt;= 0.55,$S$13, E115 &gt;= 0.5,$S$14)</f>
        <v>0.5</v>
      </c>
    </row>
    <row r="82" spans="1:15" ht="24" x14ac:dyDescent="0.25">
      <c r="A82" t="s">
        <v>81</v>
      </c>
      <c r="B82" t="s">
        <v>117</v>
      </c>
      <c r="C82">
        <v>-18.5</v>
      </c>
      <c r="D82" s="33" t="b">
        <v>1</v>
      </c>
      <c r="E82">
        <v>0.995</v>
      </c>
      <c r="F82">
        <v>124.3</v>
      </c>
      <c r="G82">
        <v>96.7</v>
      </c>
      <c r="H82">
        <v>65.900000000000006</v>
      </c>
      <c r="I82">
        <v>107.6</v>
      </c>
      <c r="J82">
        <v>100.3</v>
      </c>
      <c r="K82">
        <v>67.599999999999994</v>
      </c>
      <c r="L82">
        <v>20.34</v>
      </c>
      <c r="M82" t="s">
        <v>18</v>
      </c>
      <c r="N82" s="22">
        <v>45721</v>
      </c>
      <c r="O82" s="8" cm="1">
        <f t="array" ref="O82">_xlfn.IFS(E116&gt;=0.99,$S$3, E116&gt;=0.95,$S$4, E116&gt;= 0.93, $S$5, E116&gt;= 0.9,$S$6, E116&gt;= 0.85,$S$7, E116&gt;= 0.8,$S$8, E116&gt;= 0.75,$S$9, E116 &gt;= 0.7, $S$10, E116&gt;= 0.65, $S$11, E116&gt;= 0.6, $S$12, E116&gt;= 0.55,$S$13, E116 &gt;= 0.5,$S$14)</f>
        <v>0.42857142857142855</v>
      </c>
    </row>
    <row r="83" spans="1:15" ht="24" x14ac:dyDescent="0.25">
      <c r="A83" t="s">
        <v>61</v>
      </c>
      <c r="B83" t="s">
        <v>219</v>
      </c>
      <c r="C83">
        <v>-12.5</v>
      </c>
      <c r="D83" s="33" t="b">
        <v>1</v>
      </c>
      <c r="E83">
        <v>0.99250000000000005</v>
      </c>
      <c r="F83">
        <v>105.3</v>
      </c>
      <c r="G83">
        <v>95.8</v>
      </c>
      <c r="H83">
        <v>64.8</v>
      </c>
      <c r="I83">
        <v>102.8</v>
      </c>
      <c r="J83">
        <v>109.4</v>
      </c>
      <c r="K83">
        <v>69.099999999999994</v>
      </c>
      <c r="L83">
        <v>16.07</v>
      </c>
      <c r="M83" t="s">
        <v>18</v>
      </c>
      <c r="N83" s="22">
        <v>45721</v>
      </c>
      <c r="O83" s="8" cm="1">
        <f t="array" ref="O83">_xlfn.IFS(E117&gt;=0.99,$S$3, E117&gt;=0.95,$S$4, E117&gt;= 0.93, $S$5, E117&gt;= 0.9,$S$6, E117&gt;= 0.85,$S$7, E117&gt;= 0.8,$S$8, E117&gt;= 0.75,$S$9, E117 &gt;= 0.7, $S$10, E117&gt;= 0.65, $S$11, E117&gt;= 0.6, $S$12, E117&gt;= 0.55,$S$13, E117 &gt;= 0.5,$S$14)</f>
        <v>0.42857142857142855</v>
      </c>
    </row>
    <row r="84" spans="1:15" ht="24" x14ac:dyDescent="0.25">
      <c r="A84" t="s">
        <v>119</v>
      </c>
      <c r="B84" t="s">
        <v>205</v>
      </c>
      <c r="C84">
        <v>-7</v>
      </c>
      <c r="D84" s="33" t="b">
        <v>1</v>
      </c>
      <c r="E84">
        <v>0.95250000000000001</v>
      </c>
      <c r="F84">
        <v>116.6</v>
      </c>
      <c r="G84">
        <v>104.1</v>
      </c>
      <c r="H84">
        <v>68.7</v>
      </c>
      <c r="I84">
        <v>109.9</v>
      </c>
      <c r="J84">
        <v>103.9</v>
      </c>
      <c r="K84">
        <v>68.2</v>
      </c>
      <c r="L84">
        <v>6.49</v>
      </c>
      <c r="M84" t="s">
        <v>15</v>
      </c>
      <c r="N84" s="22">
        <v>45721</v>
      </c>
      <c r="O84" s="8" cm="1">
        <f t="array" ref="O84">_xlfn.IFS(E118&gt;=0.99,$S$3, E118&gt;=0.95,$S$4, E118&gt;= 0.93, $S$5, E118&gt;= 0.9,$S$6, E118&gt;= 0.85,$S$7, E118&gt;= 0.8,$S$8, E118&gt;= 0.75,$S$9, E118 &gt;= 0.7, $S$10, E118&gt;= 0.65, $S$11, E118&gt;= 0.6, $S$12, E118&gt;= 0.55,$S$13, E118 &gt;= 0.5,$S$14)</f>
        <v>0.6875</v>
      </c>
    </row>
    <row r="85" spans="1:15" ht="24" x14ac:dyDescent="0.25">
      <c r="A85" t="s">
        <v>62</v>
      </c>
      <c r="B85" t="s">
        <v>261</v>
      </c>
      <c r="C85">
        <v>-11</v>
      </c>
      <c r="D85" s="33" t="b">
        <v>1</v>
      </c>
      <c r="E85">
        <v>0.9425</v>
      </c>
      <c r="F85">
        <v>111.6</v>
      </c>
      <c r="G85">
        <v>100.8</v>
      </c>
      <c r="H85">
        <v>68.3</v>
      </c>
      <c r="I85">
        <v>109.2</v>
      </c>
      <c r="J85">
        <v>107.2</v>
      </c>
      <c r="K85">
        <v>70.599999999999994</v>
      </c>
      <c r="L85">
        <v>8.8600000000000012</v>
      </c>
      <c r="M85" t="s">
        <v>15</v>
      </c>
      <c r="N85" s="22">
        <v>45721</v>
      </c>
      <c r="O85" s="8" cm="1">
        <f t="array" ref="O85">_xlfn.IFS(E119&gt;=0.99,$S$3, E119&gt;=0.95,$S$4, E119&gt;= 0.93, $S$5, E119&gt;= 0.9,$S$6, E119&gt;= 0.85,$S$7, E119&gt;= 0.8,$S$8, E119&gt;= 0.75,$S$9, E119 &gt;= 0.7, $S$10, E119&gt;= 0.65, $S$11, E119&gt;= 0.6, $S$12, E119&gt;= 0.55,$S$13, E119 &gt;= 0.5,$S$14)</f>
        <v>0.3</v>
      </c>
    </row>
    <row r="86" spans="1:15" ht="24" x14ac:dyDescent="0.25">
      <c r="A86" t="s">
        <v>220</v>
      </c>
      <c r="B86" t="s">
        <v>163</v>
      </c>
      <c r="C86">
        <v>-7.5</v>
      </c>
      <c r="D86" s="33" t="b">
        <v>1</v>
      </c>
      <c r="E86">
        <v>0.9325</v>
      </c>
      <c r="F86">
        <v>113</v>
      </c>
      <c r="G86">
        <v>105.3</v>
      </c>
      <c r="H86">
        <v>66.599999999999994</v>
      </c>
      <c r="I86">
        <v>108.7</v>
      </c>
      <c r="J86">
        <v>106.2</v>
      </c>
      <c r="K86">
        <v>67.3</v>
      </c>
      <c r="L86">
        <v>5.15</v>
      </c>
      <c r="M86" t="s">
        <v>18</v>
      </c>
      <c r="N86" s="22">
        <v>45721</v>
      </c>
      <c r="O86" s="8" cm="1">
        <f t="array" ref="O86">_xlfn.IFS(E120&gt;=0.99,$S$3, E120&gt;=0.95,$S$4, E120&gt;= 0.93, $S$5, E120&gt;= 0.9,$S$6, E120&gt;= 0.85,$S$7, E120&gt;= 0.8,$S$8, E120&gt;= 0.75,$S$9, E120 &gt;= 0.7, $S$10, E120&gt;= 0.65, $S$11, E120&gt;= 0.6, $S$12, E120&gt;= 0.55,$S$13, E120 &gt;= 0.5,$S$14)</f>
        <v>0.3</v>
      </c>
    </row>
    <row r="87" spans="1:15" ht="24" x14ac:dyDescent="0.25">
      <c r="A87" t="s">
        <v>127</v>
      </c>
      <c r="B87" t="s">
        <v>113</v>
      </c>
      <c r="C87">
        <v>-3.5</v>
      </c>
      <c r="D87" s="33" t="b">
        <v>1</v>
      </c>
      <c r="E87">
        <v>0.60750000000000004</v>
      </c>
      <c r="F87">
        <v>127.3</v>
      </c>
      <c r="G87">
        <v>97.8</v>
      </c>
      <c r="H87">
        <v>75</v>
      </c>
      <c r="I87">
        <v>126.8</v>
      </c>
      <c r="J87">
        <v>92.9</v>
      </c>
      <c r="K87">
        <v>69.5</v>
      </c>
      <c r="L87">
        <v>-4.5299999999999976</v>
      </c>
      <c r="M87" t="s">
        <v>18</v>
      </c>
      <c r="N87" s="22">
        <v>45721</v>
      </c>
      <c r="O87" s="8" cm="1">
        <f t="array" ref="O87">_xlfn.IFS(E121&gt;=0.99,$S$3, E121&gt;=0.95,$S$4, E121&gt;= 0.93, $S$5, E121&gt;= 0.9,$S$6, E121&gt;= 0.85,$S$7, E121&gt;= 0.8,$S$8, E121&gt;= 0.75,$S$9, E121 &gt;= 0.7, $S$10, E121&gt;= 0.65, $S$11, E121&gt;= 0.6, $S$12, E121&gt;= 0.55,$S$13, E121 &gt;= 0.5,$S$14)</f>
        <v>0.3</v>
      </c>
    </row>
    <row r="88" spans="1:15" ht="24" x14ac:dyDescent="0.25">
      <c r="A88" t="s">
        <v>36</v>
      </c>
      <c r="B88" t="s">
        <v>186</v>
      </c>
      <c r="C88">
        <v>-2.5</v>
      </c>
      <c r="D88" s="33" t="b">
        <v>1</v>
      </c>
      <c r="E88">
        <v>0.5675</v>
      </c>
      <c r="F88">
        <v>117.1</v>
      </c>
      <c r="G88">
        <v>95.9</v>
      </c>
      <c r="H88">
        <v>69.900000000000006</v>
      </c>
      <c r="I88">
        <v>118.5</v>
      </c>
      <c r="J88">
        <v>93.7</v>
      </c>
      <c r="K88">
        <v>70.099999999999994</v>
      </c>
      <c r="L88">
        <v>-3.620000000000001</v>
      </c>
      <c r="M88" t="s">
        <v>18</v>
      </c>
      <c r="N88" s="22">
        <v>45721</v>
      </c>
      <c r="O88" s="8" cm="1">
        <f t="array" ref="O88">_xlfn.IFS(E122&gt;=0.99,$S$3, E122&gt;=0.95,$S$4, E122&gt;= 0.93, $S$5, E122&gt;= 0.9,$S$6, E122&gt;= 0.85,$S$7, E122&gt;= 0.8,$S$8, E122&gt;= 0.75,$S$9, E122 &gt;= 0.7, $S$10, E122&gt;= 0.65, $S$11, E122&gt;= 0.6, $S$12, E122&gt;= 0.55,$S$13, E122 &gt;= 0.5,$S$14)</f>
        <v>0.3</v>
      </c>
    </row>
    <row r="89" spans="1:15" ht="24" x14ac:dyDescent="0.25">
      <c r="A89" t="s">
        <v>109</v>
      </c>
      <c r="B89" t="s">
        <v>256</v>
      </c>
      <c r="C89">
        <v>-12.5</v>
      </c>
      <c r="D89" s="33" t="b">
        <v>1</v>
      </c>
      <c r="E89">
        <v>0.98499999999999999</v>
      </c>
      <c r="F89">
        <v>118.7</v>
      </c>
      <c r="G89">
        <v>102.1</v>
      </c>
      <c r="H89">
        <v>69.099999999999994</v>
      </c>
      <c r="I89">
        <v>110.7</v>
      </c>
      <c r="J89">
        <v>107.3</v>
      </c>
      <c r="K89">
        <v>68.7</v>
      </c>
      <c r="L89">
        <v>13.18</v>
      </c>
      <c r="M89" t="s">
        <v>18</v>
      </c>
      <c r="N89" s="22">
        <v>45720</v>
      </c>
      <c r="O89" s="8" cm="1">
        <f t="array" ref="O89">_xlfn.IFS(E123&gt;=0.99,$S$3, E123&gt;=0.95,$S$4, E123&gt;= 0.93, $S$5, E123&gt;= 0.9,$S$6, E123&gt;= 0.85,$S$7, E123&gt;= 0.8,$S$8, E123&gt;= 0.75,$S$9, E123 &gt;= 0.7, $S$10, E123&gt;= 0.65, $S$11, E123&gt;= 0.6, $S$12, E123&gt;= 0.55,$S$13, E123 &gt;= 0.5,$S$14)</f>
        <v>0.3</v>
      </c>
    </row>
    <row r="90" spans="1:15" ht="24" x14ac:dyDescent="0.25">
      <c r="A90" t="s">
        <v>166</v>
      </c>
      <c r="B90" t="s">
        <v>67</v>
      </c>
      <c r="C90">
        <v>-11</v>
      </c>
      <c r="D90" s="33" t="b">
        <v>1</v>
      </c>
      <c r="E90">
        <v>0.98</v>
      </c>
      <c r="F90">
        <v>124.1</v>
      </c>
      <c r="G90">
        <v>99.5</v>
      </c>
      <c r="H90">
        <v>65.400000000000006</v>
      </c>
      <c r="I90">
        <v>116.2</v>
      </c>
      <c r="J90">
        <v>104.7</v>
      </c>
      <c r="K90">
        <v>68.900000000000006</v>
      </c>
      <c r="L90">
        <v>13.07</v>
      </c>
      <c r="M90" t="s">
        <v>15</v>
      </c>
      <c r="N90" s="22">
        <v>45720</v>
      </c>
      <c r="O90" s="8" cm="1">
        <f t="array" ref="O90">_xlfn.IFS(E124&gt;=0.99,$S$3, E124&gt;=0.95,$S$4, E124&gt;= 0.93, $S$5, E124&gt;= 0.9,$S$6, E124&gt;= 0.85,$S$7, E124&gt;= 0.8,$S$8, E124&gt;= 0.75,$S$9, E124 &gt;= 0.7, $S$10, E124&gt;= 0.65, $S$11, E124&gt;= 0.6, $S$12, E124&gt;= 0.55,$S$13, E124 &gt;= 0.5,$S$14)</f>
        <v>0.3</v>
      </c>
    </row>
    <row r="91" spans="1:15" ht="24" x14ac:dyDescent="0.25">
      <c r="A91" t="s">
        <v>235</v>
      </c>
      <c r="B91" t="s">
        <v>232</v>
      </c>
      <c r="C91">
        <v>-10</v>
      </c>
      <c r="D91" s="33" t="b">
        <v>1</v>
      </c>
      <c r="E91">
        <v>0.95750000000000002</v>
      </c>
      <c r="F91">
        <v>107.1</v>
      </c>
      <c r="G91">
        <v>109.8</v>
      </c>
      <c r="H91">
        <v>63.9</v>
      </c>
      <c r="I91">
        <v>101.2</v>
      </c>
      <c r="J91">
        <v>116.9</v>
      </c>
      <c r="K91">
        <v>69</v>
      </c>
      <c r="L91">
        <v>13.07</v>
      </c>
      <c r="M91" t="s">
        <v>15</v>
      </c>
      <c r="N91" s="22">
        <v>45720</v>
      </c>
      <c r="O91" s="8" cm="1">
        <f t="array" ref="O91">_xlfn.IFS(E125&gt;=0.99,$S$3, E125&gt;=0.95,$S$4, E125&gt;= 0.93, $S$5, E125&gt;= 0.9,$S$6, E125&gt;= 0.85,$S$7, E125&gt;= 0.8,$S$8, E125&gt;= 0.75,$S$9, E125 &gt;= 0.7, $S$10, E125&gt;= 0.65, $S$11, E125&gt;= 0.6, $S$12, E125&gt;= 0.55,$S$13, E125 &gt;= 0.5,$S$14)</f>
        <v>0.47222222222222221</v>
      </c>
    </row>
    <row r="92" spans="1:15" ht="24" x14ac:dyDescent="0.25">
      <c r="A92" t="s">
        <v>257</v>
      </c>
      <c r="B92" t="s">
        <v>27</v>
      </c>
      <c r="C92">
        <v>-18</v>
      </c>
      <c r="D92" s="33" t="b">
        <v>1</v>
      </c>
      <c r="E92">
        <v>0.95250000000000001</v>
      </c>
      <c r="F92">
        <v>107.5</v>
      </c>
      <c r="G92">
        <v>107.2</v>
      </c>
      <c r="H92">
        <v>72.400000000000006</v>
      </c>
      <c r="I92">
        <v>94.7</v>
      </c>
      <c r="J92">
        <v>115.9</v>
      </c>
      <c r="K92">
        <v>67.5</v>
      </c>
      <c r="L92">
        <v>21.47</v>
      </c>
      <c r="M92" t="s">
        <v>15</v>
      </c>
      <c r="N92" s="22">
        <v>45720</v>
      </c>
      <c r="O92" s="8" cm="1">
        <f t="array" ref="O92">_xlfn.IFS(E126&gt;=0.99,$S$3, E126&gt;=0.95,$S$4, E126&gt;= 0.93, $S$5, E126&gt;= 0.9,$S$6, E126&gt;= 0.85,$S$7, E126&gt;= 0.8,$S$8, E126&gt;= 0.75,$S$9, E126 &gt;= 0.7, $S$10, E126&gt;= 0.65, $S$11, E126&gt;= 0.6, $S$12, E126&gt;= 0.55,$S$13, E126 &gt;= 0.5,$S$14)</f>
        <v>0.47222222222222221</v>
      </c>
    </row>
    <row r="93" spans="1:15" ht="24" x14ac:dyDescent="0.25">
      <c r="A93" t="s">
        <v>258</v>
      </c>
      <c r="B93" t="s">
        <v>192</v>
      </c>
      <c r="C93">
        <v>-7</v>
      </c>
      <c r="D93" s="33" t="b">
        <v>1</v>
      </c>
      <c r="E93">
        <v>0.92749999999999999</v>
      </c>
      <c r="F93">
        <v>117.8</v>
      </c>
      <c r="G93">
        <v>98.2</v>
      </c>
      <c r="H93">
        <v>68.099999999999994</v>
      </c>
      <c r="I93">
        <v>115.4</v>
      </c>
      <c r="J93">
        <v>98.8</v>
      </c>
      <c r="K93">
        <v>68.400000000000006</v>
      </c>
      <c r="L93">
        <v>2.859999999999999</v>
      </c>
      <c r="M93" t="s">
        <v>15</v>
      </c>
      <c r="N93" s="22">
        <v>45720</v>
      </c>
      <c r="O93" s="8" cm="1">
        <f t="array" ref="O93">_xlfn.IFS(E127&gt;=0.99,$S$3, E127&gt;=0.95,$S$4, E127&gt;= 0.93, $S$5, E127&gt;= 0.9,$S$6, E127&gt;= 0.85,$S$7, E127&gt;= 0.8,$S$8, E127&gt;= 0.75,$S$9, E127 &gt;= 0.7, $S$10, E127&gt;= 0.65, $S$11, E127&gt;= 0.6, $S$12, E127&gt;= 0.55,$S$13, E127 &gt;= 0.5,$S$14)</f>
        <v>0.47222222222222221</v>
      </c>
    </row>
    <row r="94" spans="1:15" ht="24" x14ac:dyDescent="0.25">
      <c r="A94" t="s">
        <v>259</v>
      </c>
      <c r="B94" t="s">
        <v>114</v>
      </c>
      <c r="C94">
        <v>-9</v>
      </c>
      <c r="D94" s="33" t="b">
        <v>1</v>
      </c>
      <c r="E94">
        <v>0.89749999999999996</v>
      </c>
      <c r="F94">
        <v>99.7</v>
      </c>
      <c r="G94">
        <v>112.8</v>
      </c>
      <c r="H94">
        <v>65.900000000000006</v>
      </c>
      <c r="I94">
        <v>93.3</v>
      </c>
      <c r="J94">
        <v>114</v>
      </c>
      <c r="K94">
        <v>66.599999999999994</v>
      </c>
      <c r="L94">
        <v>7.5200000000000014</v>
      </c>
      <c r="M94" t="s">
        <v>18</v>
      </c>
      <c r="N94" s="22">
        <v>45720</v>
      </c>
      <c r="O94" s="8" cm="1">
        <f t="array" ref="O94">_xlfn.IFS(E128&gt;=0.99,$S$3, E128&gt;=0.95,$S$4, E128&gt;= 0.93, $S$5, E128&gt;= 0.9,$S$6, E128&gt;= 0.85,$S$7, E128&gt;= 0.8,$S$8, E128&gt;= 0.75,$S$9, E128 &gt;= 0.7, $S$10, E128&gt;= 0.65, $S$11, E128&gt;= 0.6, $S$12, E128&gt;= 0.55,$S$13, E128 &gt;= 0.5,$S$14)</f>
        <v>0.47222222222222221</v>
      </c>
    </row>
    <row r="95" spans="1:15" ht="24" x14ac:dyDescent="0.25">
      <c r="A95" t="s">
        <v>65</v>
      </c>
      <c r="B95" t="s">
        <v>106</v>
      </c>
      <c r="C95">
        <v>-6.5</v>
      </c>
      <c r="D95" s="33" t="b">
        <v>1</v>
      </c>
      <c r="E95">
        <v>0.87250000000000005</v>
      </c>
      <c r="F95">
        <v>98.7</v>
      </c>
      <c r="G95">
        <v>109.3</v>
      </c>
      <c r="H95">
        <v>66.3</v>
      </c>
      <c r="I95">
        <v>102.3</v>
      </c>
      <c r="J95">
        <v>116.3</v>
      </c>
      <c r="K95">
        <v>66.3</v>
      </c>
      <c r="L95">
        <v>3.34</v>
      </c>
      <c r="M95" t="s">
        <v>18</v>
      </c>
      <c r="N95" s="22">
        <v>45720</v>
      </c>
      <c r="O95" s="8" cm="1">
        <f t="array" ref="O95">_xlfn.IFS(E129&gt;=0.99,$S$3, E129&gt;=0.95,$S$4, E129&gt;= 0.93, $S$5, E129&gt;= 0.9,$S$6, E129&gt;= 0.85,$S$7, E129&gt;= 0.8,$S$8, E129&gt;= 0.75,$S$9, E129 &gt;= 0.7, $S$10, E129&gt;= 0.65, $S$11, E129&gt;= 0.6, $S$12, E129&gt;= 0.55,$S$13, E129 &gt;= 0.5,$S$14)</f>
        <v>0.61538461538461542</v>
      </c>
    </row>
    <row r="96" spans="1:15" ht="24" x14ac:dyDescent="0.25">
      <c r="A96" t="s">
        <v>196</v>
      </c>
      <c r="B96" t="s">
        <v>58</v>
      </c>
      <c r="C96">
        <v>-6</v>
      </c>
      <c r="D96" s="33" t="b">
        <v>1</v>
      </c>
      <c r="E96">
        <v>0.87250000000000005</v>
      </c>
      <c r="F96">
        <v>116.2</v>
      </c>
      <c r="G96">
        <v>105.8</v>
      </c>
      <c r="H96">
        <v>66.2</v>
      </c>
      <c r="I96">
        <v>109.5</v>
      </c>
      <c r="J96">
        <v>103.9</v>
      </c>
      <c r="K96">
        <v>67.5</v>
      </c>
      <c r="L96">
        <v>4.74</v>
      </c>
      <c r="M96" t="s">
        <v>15</v>
      </c>
      <c r="N96" s="22">
        <v>45720</v>
      </c>
      <c r="O96" s="8" cm="1">
        <f t="array" ref="O96">_xlfn.IFS(E130&gt;=0.99,$S$3, E130&gt;=0.95,$S$4, E130&gt;= 0.93, $S$5, E130&gt;= 0.9,$S$6, E130&gt;= 0.85,$S$7, E130&gt;= 0.8,$S$8, E130&gt;= 0.75,$S$9, E130 &gt;= 0.7, $S$10, E130&gt;= 0.65, $S$11, E130&gt;= 0.6, $S$12, E130&gt;= 0.55,$S$13, E130 &gt;= 0.5,$S$14)</f>
        <v>0.61538461538461542</v>
      </c>
    </row>
    <row r="97" spans="1:15" ht="24" x14ac:dyDescent="0.25">
      <c r="A97" t="s">
        <v>115</v>
      </c>
      <c r="B97" t="s">
        <v>82</v>
      </c>
      <c r="C97">
        <v>-4.5</v>
      </c>
      <c r="D97" s="33" t="b">
        <v>1</v>
      </c>
      <c r="E97">
        <v>0.85750000000000004</v>
      </c>
      <c r="F97">
        <v>100.3</v>
      </c>
      <c r="G97">
        <v>105.6</v>
      </c>
      <c r="H97">
        <v>62.5</v>
      </c>
      <c r="I97">
        <v>103.4</v>
      </c>
      <c r="J97">
        <v>111.8</v>
      </c>
      <c r="K97">
        <v>67.7</v>
      </c>
      <c r="L97">
        <v>3.1700000000000008</v>
      </c>
      <c r="M97" t="s">
        <v>15</v>
      </c>
      <c r="N97" s="22">
        <v>45720</v>
      </c>
      <c r="O97" s="8" cm="1">
        <f t="array" ref="O97">_xlfn.IFS(E131&gt;=0.99,$S$3, E131&gt;=0.95,$S$4, E131&gt;= 0.93, $S$5, E131&gt;= 0.9,$S$6, E131&gt;= 0.85,$S$7, E131&gt;= 0.8,$S$8, E131&gt;= 0.75,$S$9, E131 &gt;= 0.7, $S$10, E131&gt;= 0.65, $S$11, E131&gt;= 0.6, $S$12, E131&gt;= 0.55,$S$13, E131 &gt;= 0.5,$S$14)</f>
        <v>0.45</v>
      </c>
    </row>
    <row r="98" spans="1:15" ht="24" x14ac:dyDescent="0.25">
      <c r="A98" t="s">
        <v>50</v>
      </c>
      <c r="B98" t="s">
        <v>76</v>
      </c>
      <c r="C98">
        <v>-7</v>
      </c>
      <c r="D98" s="33" t="b">
        <v>1</v>
      </c>
      <c r="E98">
        <v>0.83250000000000002</v>
      </c>
      <c r="F98">
        <v>119.9</v>
      </c>
      <c r="G98">
        <v>102.1</v>
      </c>
      <c r="H98">
        <v>69.400000000000006</v>
      </c>
      <c r="I98">
        <v>111.8</v>
      </c>
      <c r="J98">
        <v>95</v>
      </c>
      <c r="K98">
        <v>69.2</v>
      </c>
      <c r="L98">
        <v>1.02</v>
      </c>
      <c r="M98" t="s">
        <v>18</v>
      </c>
      <c r="N98" s="22">
        <v>45720</v>
      </c>
      <c r="O98" s="8" cm="1">
        <f t="array" ref="O98">_xlfn.IFS(E132&gt;=0.99,$S$3, E132&gt;=0.95,$S$4, E132&gt;= 0.93, $S$5, E132&gt;= 0.9,$S$6, E132&gt;= 0.85,$S$7, E132&gt;= 0.8,$S$8, E132&gt;= 0.75,$S$9, E132 &gt;= 0.7, $S$10, E132&gt;= 0.65, $S$11, E132&gt;= 0.6, $S$12, E132&gt;= 0.55,$S$13, E132 &gt;= 0.5,$S$14)</f>
        <v>0.45</v>
      </c>
    </row>
    <row r="99" spans="1:15" ht="24" x14ac:dyDescent="0.25">
      <c r="A99" t="s">
        <v>260</v>
      </c>
      <c r="B99" t="s">
        <v>84</v>
      </c>
      <c r="C99">
        <v>-13.5</v>
      </c>
      <c r="D99" s="33" t="b">
        <v>1</v>
      </c>
      <c r="E99">
        <v>0.81499999999999995</v>
      </c>
      <c r="F99">
        <v>125.3</v>
      </c>
      <c r="G99">
        <v>100.9</v>
      </c>
      <c r="H99">
        <v>70.8</v>
      </c>
      <c r="I99">
        <v>111.3</v>
      </c>
      <c r="J99">
        <v>100.9</v>
      </c>
      <c r="K99">
        <v>68</v>
      </c>
      <c r="L99">
        <v>13.98</v>
      </c>
      <c r="M99" t="s">
        <v>15</v>
      </c>
      <c r="N99" s="22">
        <v>45720</v>
      </c>
      <c r="O99" s="8" cm="1">
        <f t="array" ref="O99">_xlfn.IFS(E133&gt;=0.99,$S$3, E133&gt;=0.95,$S$4, E133&gt;= 0.93, $S$5, E133&gt;= 0.9,$S$6, E133&gt;= 0.85,$S$7, E133&gt;= 0.8,$S$8, E133&gt;= 0.75,$S$9, E133 &gt;= 0.7, $S$10, E133&gt;= 0.65, $S$11, E133&gt;= 0.6, $S$12, E133&gt;= 0.55,$S$13, E133 &gt;= 0.5,$S$14)</f>
        <v>0.45</v>
      </c>
    </row>
    <row r="100" spans="1:15" ht="24" x14ac:dyDescent="0.25">
      <c r="A100" t="s">
        <v>215</v>
      </c>
      <c r="B100" t="s">
        <v>203</v>
      </c>
      <c r="C100">
        <v>-3.5</v>
      </c>
      <c r="D100" s="33" t="b">
        <v>1</v>
      </c>
      <c r="E100">
        <v>0.72250000000000003</v>
      </c>
      <c r="F100">
        <v>113.6</v>
      </c>
      <c r="G100">
        <v>102</v>
      </c>
      <c r="H100">
        <v>68.8</v>
      </c>
      <c r="I100">
        <v>110.2</v>
      </c>
      <c r="J100">
        <v>94.6</v>
      </c>
      <c r="K100">
        <v>64.400000000000006</v>
      </c>
      <c r="L100">
        <v>-3.9700000000000011</v>
      </c>
      <c r="M100" t="s">
        <v>18</v>
      </c>
      <c r="N100" s="22">
        <v>45720</v>
      </c>
      <c r="O100" s="8" cm="1">
        <f t="array" ref="O100">_xlfn.IFS(E134&gt;=0.99,$S$3, E134&gt;=0.95,$S$4, E134&gt;= 0.93, $S$5, E134&gt;= 0.9,$S$6, E134&gt;= 0.85,$S$7, E134&gt;= 0.8,$S$8, E134&gt;= 0.75,$S$9, E134 &gt;= 0.7, $S$10, E134&gt;= 0.65, $S$11, E134&gt;= 0.6, $S$12, E134&gt;= 0.55,$S$13, E134 &gt;= 0.5,$S$14)</f>
        <v>0.45</v>
      </c>
    </row>
    <row r="101" spans="1:15" ht="24" x14ac:dyDescent="0.25">
      <c r="A101" t="s">
        <v>245</v>
      </c>
      <c r="B101" t="s">
        <v>83</v>
      </c>
      <c r="C101">
        <v>-2</v>
      </c>
      <c r="D101" s="33" t="b">
        <v>1</v>
      </c>
      <c r="E101">
        <v>0.72</v>
      </c>
      <c r="F101">
        <v>102.1</v>
      </c>
      <c r="G101">
        <v>106.8</v>
      </c>
      <c r="H101">
        <v>66.2</v>
      </c>
      <c r="I101">
        <v>109.5</v>
      </c>
      <c r="J101">
        <v>115.2</v>
      </c>
      <c r="K101">
        <v>69.099999999999994</v>
      </c>
      <c r="L101">
        <v>1.1100000000000001</v>
      </c>
      <c r="M101" t="s">
        <v>18</v>
      </c>
      <c r="N101" s="22">
        <v>45720</v>
      </c>
      <c r="O101" s="8" cm="1">
        <f t="array" ref="O101">_xlfn.IFS(E135&gt;=0.99,$S$3, E135&gt;=0.95,$S$4, E135&gt;= 0.93, $S$5, E135&gt;= 0.9,$S$6, E135&gt;= 0.85,$S$7, E135&gt;= 0.8,$S$8, E135&gt;= 0.75,$S$9, E135 &gt;= 0.7, $S$10, E135&gt;= 0.65, $S$11, E135&gt;= 0.6, $S$12, E135&gt;= 0.55,$S$13, E135 &gt;= 0.5,$S$14)</f>
        <v>0.45</v>
      </c>
    </row>
    <row r="102" spans="1:15" ht="24" x14ac:dyDescent="0.25">
      <c r="A102" t="s">
        <v>201</v>
      </c>
      <c r="B102" t="s">
        <v>154</v>
      </c>
      <c r="C102">
        <v>-2</v>
      </c>
      <c r="D102" s="33" t="b">
        <v>0</v>
      </c>
      <c r="E102">
        <v>0.55500000000000005</v>
      </c>
      <c r="F102">
        <v>100.7</v>
      </c>
      <c r="G102">
        <v>110.8</v>
      </c>
      <c r="H102">
        <v>66.3</v>
      </c>
      <c r="I102">
        <v>110.2</v>
      </c>
      <c r="J102">
        <v>110.9</v>
      </c>
      <c r="K102">
        <v>69</v>
      </c>
      <c r="L102">
        <v>-9.4</v>
      </c>
      <c r="M102" t="s">
        <v>15</v>
      </c>
      <c r="N102" s="22">
        <v>45720</v>
      </c>
      <c r="O102" s="8" cm="1">
        <f t="array" ref="O102">_xlfn.IFS(E136&gt;=0.99,$S$3, E136&gt;=0.95,$S$4, E136&gt;= 0.93, $S$5, E136&gt;= 0.9,$S$6, E136&gt;= 0.85,$S$7, E136&gt;= 0.8,$S$8, E136&gt;= 0.75,$S$9, E136 &gt;= 0.7, $S$10, E136&gt;= 0.65, $S$11, E136&gt;= 0.6, $S$12, E136&gt;= 0.55,$S$13, E136 &gt;= 0.5,$S$14)</f>
        <v>0.45</v>
      </c>
    </row>
    <row r="103" spans="1:15" ht="24" x14ac:dyDescent="0.25">
      <c r="A103" t="s">
        <v>13</v>
      </c>
      <c r="B103" t="s">
        <v>246</v>
      </c>
      <c r="C103">
        <v>-2.5</v>
      </c>
      <c r="D103" s="33" t="b">
        <v>0</v>
      </c>
      <c r="E103">
        <v>0.54749999999999999</v>
      </c>
      <c r="F103">
        <v>100.5</v>
      </c>
      <c r="G103">
        <v>113.4</v>
      </c>
      <c r="H103">
        <v>67</v>
      </c>
      <c r="I103">
        <v>101.3</v>
      </c>
      <c r="J103">
        <v>111.2</v>
      </c>
      <c r="K103">
        <v>67.5</v>
      </c>
      <c r="L103">
        <v>-2.9</v>
      </c>
      <c r="M103" t="s">
        <v>18</v>
      </c>
      <c r="N103" s="22">
        <v>45720</v>
      </c>
      <c r="O103" s="8" cm="1">
        <f t="array" ref="O103">_xlfn.IFS(E137&gt;=0.99,$S$3, E137&gt;=0.95,$S$4, E137&gt;= 0.93, $S$5, E137&gt;= 0.9,$S$6, E137&gt;= 0.85,$S$7, E137&gt;= 0.8,$S$8, E137&gt;= 0.75,$S$9, E137 &gt;= 0.7, $S$10, E137&gt;= 0.65, $S$11, E137&gt;= 0.6, $S$12, E137&gt;= 0.55,$S$13, E137 &gt;= 0.5,$S$14)</f>
        <v>0.72727272727272729</v>
      </c>
    </row>
    <row r="104" spans="1:15" ht="24" x14ac:dyDescent="0.25">
      <c r="A104" t="s">
        <v>187</v>
      </c>
      <c r="B104" t="s">
        <v>243</v>
      </c>
      <c r="C104">
        <v>-6.5</v>
      </c>
      <c r="D104" s="33" t="b">
        <v>1</v>
      </c>
      <c r="E104">
        <v>0.84</v>
      </c>
      <c r="F104">
        <v>106.1</v>
      </c>
      <c r="G104">
        <v>115.2</v>
      </c>
      <c r="H104">
        <v>70.5</v>
      </c>
      <c r="I104">
        <v>100.4</v>
      </c>
      <c r="J104">
        <v>117</v>
      </c>
      <c r="K104">
        <v>65.7</v>
      </c>
      <c r="L104">
        <v>7.4300000000000006</v>
      </c>
      <c r="M104" t="s">
        <v>15</v>
      </c>
      <c r="N104" s="22">
        <v>45718</v>
      </c>
      <c r="O104" s="8" cm="1">
        <f t="array" ref="O104">_xlfn.IFS(E138&gt;=0.99,$S$3, E138&gt;=0.95,$S$4, E138&gt;= 0.93, $S$5, E138&gt;= 0.9,$S$6, E138&gt;= 0.85,$S$7, E138&gt;= 0.8,$S$8, E138&gt;= 0.75,$S$9, E138 &gt;= 0.7, $S$10, E138&gt;= 0.65, $S$11, E138&gt;= 0.6, $S$12, E138&gt;= 0.55,$S$13, E138 &gt;= 0.5,$S$14)</f>
        <v>0.72727272727272729</v>
      </c>
    </row>
    <row r="105" spans="1:15" ht="24" x14ac:dyDescent="0.25">
      <c r="A105" t="s">
        <v>55</v>
      </c>
      <c r="B105" t="s">
        <v>99</v>
      </c>
      <c r="C105">
        <v>-4.5</v>
      </c>
      <c r="D105" s="33" t="b">
        <v>1</v>
      </c>
      <c r="E105">
        <v>0.83750000000000002</v>
      </c>
      <c r="F105">
        <v>113.2</v>
      </c>
      <c r="G105">
        <v>112.8</v>
      </c>
      <c r="H105">
        <v>71</v>
      </c>
      <c r="I105">
        <v>106.6</v>
      </c>
      <c r="J105">
        <v>107.6</v>
      </c>
      <c r="K105">
        <v>66.7</v>
      </c>
      <c r="L105">
        <v>1.34</v>
      </c>
      <c r="M105" t="s">
        <v>15</v>
      </c>
      <c r="N105" s="22">
        <v>45718</v>
      </c>
      <c r="O105" s="8" cm="1">
        <f t="array" ref="O105">_xlfn.IFS(E139&gt;=0.99,$S$3, E139&gt;=0.95,$S$4, E139&gt;= 0.93, $S$5, E139&gt;= 0.9,$S$6, E139&gt;= 0.85,$S$7, E139&gt;= 0.8,$S$8, E139&gt;= 0.75,$S$9, E139 &gt;= 0.7, $S$10, E139&gt;= 0.65, $S$11, E139&gt;= 0.6, $S$12, E139&gt;= 0.55,$S$13, E139 &gt;= 0.5,$S$14)</f>
        <v>0.72727272727272729</v>
      </c>
    </row>
    <row r="106" spans="1:15" ht="24" x14ac:dyDescent="0.25">
      <c r="A106" t="s">
        <v>165</v>
      </c>
      <c r="B106" t="s">
        <v>254</v>
      </c>
      <c r="C106">
        <v>-6.5</v>
      </c>
      <c r="D106" s="33" t="b">
        <v>1</v>
      </c>
      <c r="E106">
        <v>0.8</v>
      </c>
      <c r="F106">
        <v>109.2</v>
      </c>
      <c r="G106">
        <v>108.7</v>
      </c>
      <c r="H106">
        <v>69.2</v>
      </c>
      <c r="I106">
        <v>107.1</v>
      </c>
      <c r="J106">
        <v>112.9</v>
      </c>
      <c r="K106">
        <v>68.5</v>
      </c>
      <c r="L106">
        <v>6.38</v>
      </c>
      <c r="M106" t="s">
        <v>18</v>
      </c>
      <c r="N106" s="22">
        <v>45718</v>
      </c>
      <c r="O106" s="8" cm="1">
        <f t="array" ref="O106">_xlfn.IFS(E140&gt;=0.99,$S$3, E140&gt;=0.95,$S$4, E140&gt;= 0.93, $S$5, E140&gt;= 0.9,$S$6, E140&gt;= 0.85,$S$7, E140&gt;= 0.8,$S$8, E140&gt;= 0.75,$S$9, E140 &gt;= 0.7, $S$10, E140&gt;= 0.65, $S$11, E140&gt;= 0.6, $S$12, E140&gt;= 0.55,$S$13, E140 &gt;= 0.5,$S$14)</f>
        <v>0.72727272727272729</v>
      </c>
    </row>
    <row r="107" spans="1:15" ht="24" x14ac:dyDescent="0.25">
      <c r="A107" t="s">
        <v>134</v>
      </c>
      <c r="B107" t="s">
        <v>186</v>
      </c>
      <c r="C107">
        <v>-3</v>
      </c>
      <c r="D107" s="33" t="b">
        <v>1</v>
      </c>
      <c r="E107">
        <v>0.68500000000000005</v>
      </c>
      <c r="F107">
        <v>117.4</v>
      </c>
      <c r="G107">
        <v>95</v>
      </c>
      <c r="H107">
        <v>70</v>
      </c>
      <c r="I107">
        <v>120.7</v>
      </c>
      <c r="J107">
        <v>97.8</v>
      </c>
      <c r="K107">
        <v>71.8</v>
      </c>
      <c r="L107">
        <v>-0.58999999999999986</v>
      </c>
      <c r="M107" t="s">
        <v>18</v>
      </c>
      <c r="N107" s="22">
        <v>45718</v>
      </c>
      <c r="O107" s="8" cm="1">
        <f t="array" ref="O107">_xlfn.IFS(E141&gt;=0.99,$S$3, E141&gt;=0.95,$S$4, E141&gt;= 0.93, $S$5, E141&gt;= 0.9,$S$6, E141&gt;= 0.85,$S$7, E141&gt;= 0.8,$S$8, E141&gt;= 0.75,$S$9, E141 &gt;= 0.7, $S$10, E141&gt;= 0.65, $S$11, E141&gt;= 0.6, $S$12, E141&gt;= 0.55,$S$13, E141 &gt;= 0.5,$S$14)</f>
        <v>0.72727272727272729</v>
      </c>
    </row>
    <row r="108" spans="1:15" ht="24" x14ac:dyDescent="0.25">
      <c r="A108" t="s">
        <v>63</v>
      </c>
      <c r="B108" t="s">
        <v>255</v>
      </c>
      <c r="C108">
        <v>-1.5</v>
      </c>
      <c r="D108" s="33" t="b">
        <v>1</v>
      </c>
      <c r="E108">
        <v>0.58250000000000002</v>
      </c>
      <c r="F108">
        <v>107.5</v>
      </c>
      <c r="G108">
        <v>111.5</v>
      </c>
      <c r="H108">
        <v>70.400000000000006</v>
      </c>
      <c r="I108">
        <v>109.4</v>
      </c>
      <c r="J108">
        <v>109.6</v>
      </c>
      <c r="K108">
        <v>65.599999999999994</v>
      </c>
      <c r="L108">
        <v>-3.79</v>
      </c>
      <c r="M108" t="s">
        <v>15</v>
      </c>
      <c r="N108" s="22">
        <v>45718</v>
      </c>
      <c r="O108" s="8" cm="1">
        <f t="array" ref="O108">_xlfn.IFS(E142&gt;=0.99,$S$3, E142&gt;=0.95,$S$4, E142&gt;= 0.93, $S$5, E142&gt;= 0.9,$S$6, E142&gt;= 0.85,$S$7, E142&gt;= 0.8,$S$8, E142&gt;= 0.75,$S$9, E142 &gt;= 0.7, $S$10, E142&gt;= 0.65, $S$11, E142&gt;= 0.6, $S$12, E142&gt;= 0.55,$S$13, E142 &gt;= 0.5,$S$14)</f>
        <v>0.72727272727272729</v>
      </c>
    </row>
    <row r="109" spans="1:15" ht="24" x14ac:dyDescent="0.25">
      <c r="A109" t="s">
        <v>240</v>
      </c>
      <c r="B109" t="s">
        <v>183</v>
      </c>
      <c r="C109">
        <v>-3.5</v>
      </c>
      <c r="D109" s="33" t="b">
        <v>1</v>
      </c>
      <c r="E109">
        <v>0.53</v>
      </c>
      <c r="F109">
        <v>100.8</v>
      </c>
      <c r="G109">
        <v>106.5</v>
      </c>
      <c r="H109">
        <v>64.400000000000006</v>
      </c>
      <c r="I109">
        <v>96.9</v>
      </c>
      <c r="J109">
        <v>108.2</v>
      </c>
      <c r="K109">
        <v>63.3</v>
      </c>
      <c r="L109">
        <v>5.5999999999999988</v>
      </c>
      <c r="M109" t="s">
        <v>18</v>
      </c>
      <c r="N109" s="22">
        <v>45718</v>
      </c>
      <c r="O109" s="8" cm="1">
        <f t="array" ref="O109">_xlfn.IFS(E143&gt;=0.99,$S$3, E143&gt;=0.95,$S$4, E143&gt;= 0.93, $S$5, E143&gt;= 0.9,$S$6, E143&gt;= 0.85,$S$7, E143&gt;= 0.8,$S$8, E143&gt;= 0.75,$S$9, E143 &gt;= 0.7, $S$10, E143&gt;= 0.65, $S$11, E143&gt;= 0.6, $S$12, E143&gt;= 0.55,$S$13, E143 &gt;= 0.5,$S$14)</f>
        <v>0.47619047619047616</v>
      </c>
    </row>
    <row r="110" spans="1:15" ht="24" x14ac:dyDescent="0.25">
      <c r="A110" t="s">
        <v>234</v>
      </c>
      <c r="B110" t="s">
        <v>233</v>
      </c>
      <c r="C110">
        <v>-17</v>
      </c>
      <c r="D110" s="33" t="b">
        <v>1</v>
      </c>
      <c r="E110">
        <v>0.995</v>
      </c>
      <c r="F110">
        <v>108.6</v>
      </c>
      <c r="G110">
        <v>106.4</v>
      </c>
      <c r="H110">
        <v>68.7</v>
      </c>
      <c r="I110">
        <v>95.6</v>
      </c>
      <c r="J110">
        <v>112.1</v>
      </c>
      <c r="K110">
        <v>66.8</v>
      </c>
      <c r="L110">
        <v>18.61</v>
      </c>
      <c r="M110" t="s">
        <v>15</v>
      </c>
      <c r="N110" s="22">
        <v>45717</v>
      </c>
      <c r="O110" s="8" cm="1">
        <f t="array" ref="O110">_xlfn.IFS(E144&gt;=0.99,$S$3, E144&gt;=0.95,$S$4, E144&gt;= 0.93, $S$5, E144&gt;= 0.9,$S$6, E144&gt;= 0.85,$S$7, E144&gt;= 0.8,$S$8, E144&gt;= 0.75,$S$9, E144 &gt;= 0.7, $S$10, E144&gt;= 0.65, $S$11, E144&gt;= 0.6, $S$12, E144&gt;= 0.55,$S$13, E144 &gt;= 0.5,$S$14)</f>
        <v>0.75</v>
      </c>
    </row>
    <row r="111" spans="1:15" ht="24" x14ac:dyDescent="0.25">
      <c r="A111" t="s">
        <v>131</v>
      </c>
      <c r="B111" t="s">
        <v>168</v>
      </c>
      <c r="C111">
        <v>-22.5</v>
      </c>
      <c r="D111" s="33" t="b">
        <v>1</v>
      </c>
      <c r="E111">
        <v>0.995</v>
      </c>
      <c r="F111">
        <v>114.1</v>
      </c>
      <c r="G111">
        <v>96.8</v>
      </c>
      <c r="H111">
        <v>73</v>
      </c>
      <c r="I111">
        <v>100</v>
      </c>
      <c r="J111">
        <v>112.4</v>
      </c>
      <c r="K111">
        <v>64.2</v>
      </c>
      <c r="L111">
        <v>29.75</v>
      </c>
      <c r="M111" t="s">
        <v>18</v>
      </c>
      <c r="N111" s="22">
        <v>45717</v>
      </c>
      <c r="O111" s="8" cm="1">
        <f t="array" ref="O111">_xlfn.IFS(E145&gt;=0.99,$S$3, E145&gt;=0.95,$S$4, E145&gt;= 0.93, $S$5, E145&gt;= 0.9,$S$6, E145&gt;= 0.85,$S$7, E145&gt;= 0.8,$S$8, E145&gt;= 0.75,$S$9, E145 &gt;= 0.7, $S$10, E145&gt;= 0.65, $S$11, E145&gt;= 0.6, $S$12, E145&gt;= 0.55,$S$13, E145 &gt;= 0.5,$S$14)</f>
        <v>0.56666666666666665</v>
      </c>
    </row>
    <row r="112" spans="1:15" ht="24" x14ac:dyDescent="0.25">
      <c r="A112" t="s">
        <v>51</v>
      </c>
      <c r="B112" t="s">
        <v>127</v>
      </c>
      <c r="C112">
        <v>-9.5</v>
      </c>
      <c r="D112" s="33" t="b">
        <v>1</v>
      </c>
      <c r="E112">
        <v>0.99250000000000005</v>
      </c>
      <c r="F112">
        <v>126.7</v>
      </c>
      <c r="G112">
        <v>93.2</v>
      </c>
      <c r="H112">
        <v>69.3</v>
      </c>
      <c r="I112">
        <v>116.3</v>
      </c>
      <c r="J112">
        <v>92.9</v>
      </c>
      <c r="K112">
        <v>66.599999999999994</v>
      </c>
      <c r="L112">
        <v>10.029999999999999</v>
      </c>
      <c r="M112" t="s">
        <v>15</v>
      </c>
      <c r="N112" s="22">
        <v>45717</v>
      </c>
      <c r="O112" s="8" cm="1">
        <f t="array" ref="O112">_xlfn.IFS(E146&gt;=0.99,$S$3, E146&gt;=0.95,$S$4, E146&gt;= 0.93, $S$5, E146&gt;= 0.9,$S$6, E146&gt;= 0.85,$S$7, E146&gt;= 0.8,$S$8, E146&gt;= 0.75,$S$9, E146 &gt;= 0.7, $S$10, E146&gt;= 0.65, $S$11, E146&gt;= 0.6, $S$12, E146&gt;= 0.55,$S$13, E146 &gt;= 0.5,$S$14)</f>
        <v>0.56666666666666665</v>
      </c>
    </row>
    <row r="113" spans="1:15" ht="24" x14ac:dyDescent="0.25">
      <c r="A113" t="s">
        <v>123</v>
      </c>
      <c r="B113" t="s">
        <v>244</v>
      </c>
      <c r="C113">
        <v>-10.5</v>
      </c>
      <c r="D113" s="33" t="b">
        <v>1</v>
      </c>
      <c r="E113">
        <v>0.98</v>
      </c>
      <c r="F113">
        <v>119.3</v>
      </c>
      <c r="G113">
        <v>96.8</v>
      </c>
      <c r="H113">
        <v>69.099999999999994</v>
      </c>
      <c r="I113">
        <v>117.7</v>
      </c>
      <c r="J113">
        <v>103.4</v>
      </c>
      <c r="K113">
        <v>66.2</v>
      </c>
      <c r="L113">
        <v>8.19</v>
      </c>
      <c r="M113" t="s">
        <v>15</v>
      </c>
      <c r="N113" s="22">
        <v>45717</v>
      </c>
      <c r="O113" s="8" cm="1">
        <f t="array" ref="O113">_xlfn.IFS(E147&gt;=0.99,$S$3, E147&gt;=0.95,$S$4, E147&gt;= 0.93, $S$5, E147&gt;= 0.9,$S$6, E147&gt;= 0.85,$S$7, E147&gt;= 0.8,$S$8, E147&gt;= 0.75,$S$9, E147 &gt;= 0.7, $S$10, E147&gt;= 0.65, $S$11, E147&gt;= 0.6, $S$12, E147&gt;= 0.55,$S$13, E147 &gt;= 0.5,$S$14)</f>
        <v>0.5</v>
      </c>
    </row>
    <row r="114" spans="1:15" ht="24" x14ac:dyDescent="0.25">
      <c r="A114" t="s">
        <v>171</v>
      </c>
      <c r="B114" t="s">
        <v>118</v>
      </c>
      <c r="C114">
        <v>-13.5</v>
      </c>
      <c r="D114" s="33" t="b">
        <v>1</v>
      </c>
      <c r="E114">
        <v>0.96250000000000002</v>
      </c>
      <c r="F114">
        <v>125.1</v>
      </c>
      <c r="G114">
        <v>89.2</v>
      </c>
      <c r="H114">
        <v>61</v>
      </c>
      <c r="I114">
        <v>112.4</v>
      </c>
      <c r="J114">
        <v>96.8</v>
      </c>
      <c r="K114">
        <v>65.3</v>
      </c>
      <c r="L114">
        <v>20.32</v>
      </c>
      <c r="M114" t="s">
        <v>18</v>
      </c>
      <c r="N114" s="22">
        <v>45717</v>
      </c>
      <c r="O114" s="8" cm="1">
        <f t="array" ref="O114">_xlfn.IFS(E148&gt;=0.99,$S$3, E148&gt;=0.95,$S$4, E148&gt;= 0.93, $S$5, E148&gt;= 0.9,$S$6, E148&gt;= 0.85,$S$7, E148&gt;= 0.8,$S$8, E148&gt;= 0.75,$S$9, E148 &gt;= 0.7, $S$10, E148&gt;= 0.65, $S$11, E148&gt;= 0.6, $S$12, E148&gt;= 0.55,$S$13, E148 &gt;= 0.5,$S$14)</f>
        <v>0.6875</v>
      </c>
    </row>
    <row r="115" spans="1:15" ht="24" x14ac:dyDescent="0.25">
      <c r="A115" t="s">
        <v>93</v>
      </c>
      <c r="B115" t="s">
        <v>58</v>
      </c>
      <c r="C115">
        <v>-14.5</v>
      </c>
      <c r="D115" s="33" t="b">
        <v>1</v>
      </c>
      <c r="E115">
        <v>0.96250000000000002</v>
      </c>
      <c r="F115">
        <v>117.5</v>
      </c>
      <c r="G115">
        <v>106.9</v>
      </c>
      <c r="H115">
        <v>66.099999999999994</v>
      </c>
      <c r="I115">
        <v>104.6</v>
      </c>
      <c r="J115">
        <v>110.9</v>
      </c>
      <c r="K115">
        <v>63.9</v>
      </c>
      <c r="L115">
        <v>16.87</v>
      </c>
      <c r="M115" t="s">
        <v>18</v>
      </c>
      <c r="N115" s="22">
        <v>45717</v>
      </c>
      <c r="O115" s="8" cm="1">
        <f t="array" ref="O115">_xlfn.IFS(E149&gt;=0.99,$S$3, E149&gt;=0.95,$S$4, E149&gt;= 0.93, $S$5, E149&gt;= 0.9,$S$6, E149&gt;= 0.85,$S$7, E149&gt;= 0.8,$S$8, E149&gt;= 0.75,$S$9, E149 &gt;= 0.7, $S$10, E149&gt;= 0.65, $S$11, E149&gt;= 0.6, $S$12, E149&gt;= 0.55,$S$13, E149 &gt;= 0.5,$S$14)</f>
        <v>0.3</v>
      </c>
    </row>
    <row r="116" spans="1:15" ht="24" x14ac:dyDescent="0.25">
      <c r="A116" t="s">
        <v>54</v>
      </c>
      <c r="B116" t="s">
        <v>200</v>
      </c>
      <c r="C116">
        <v>-8</v>
      </c>
      <c r="D116" s="33" t="b">
        <v>1</v>
      </c>
      <c r="E116">
        <v>0.94499999999999995</v>
      </c>
      <c r="F116">
        <v>117.9</v>
      </c>
      <c r="G116">
        <v>95.7</v>
      </c>
      <c r="H116">
        <v>68.2</v>
      </c>
      <c r="I116">
        <v>117.9</v>
      </c>
      <c r="J116">
        <v>101.6</v>
      </c>
      <c r="K116">
        <v>68.599999999999994</v>
      </c>
      <c r="L116">
        <v>5.7999999999999972</v>
      </c>
      <c r="M116" t="s">
        <v>18</v>
      </c>
      <c r="N116" s="22">
        <v>45717</v>
      </c>
      <c r="O116" s="8" cm="1">
        <f t="array" ref="O116">_xlfn.IFS(E150&gt;=0.99,$S$3, E150&gt;=0.95,$S$4, E150&gt;= 0.93, $S$5, E150&gt;= 0.9,$S$6, E150&gt;= 0.85,$S$7, E150&gt;= 0.8,$S$8, E150&gt;= 0.75,$S$9, E150 &gt;= 0.7, $S$10, E150&gt;= 0.65, $S$11, E150&gt;= 0.6, $S$12, E150&gt;= 0.55,$S$13, E150 &gt;= 0.5,$S$14)</f>
        <v>0.61538461538461542</v>
      </c>
    </row>
    <row r="117" spans="1:15" ht="24" x14ac:dyDescent="0.25">
      <c r="A117" t="s">
        <v>59</v>
      </c>
      <c r="B117" t="s">
        <v>37</v>
      </c>
      <c r="C117">
        <v>-7.5</v>
      </c>
      <c r="D117" s="33" t="b">
        <v>1</v>
      </c>
      <c r="E117">
        <v>0.93500000000000005</v>
      </c>
      <c r="F117">
        <v>113.6</v>
      </c>
      <c r="G117">
        <v>97.2</v>
      </c>
      <c r="H117">
        <v>67.599999999999994</v>
      </c>
      <c r="I117">
        <v>110.8</v>
      </c>
      <c r="J117">
        <v>103</v>
      </c>
      <c r="K117">
        <v>62.5</v>
      </c>
      <c r="L117">
        <v>8.52</v>
      </c>
      <c r="M117" t="s">
        <v>18</v>
      </c>
      <c r="N117" s="22">
        <v>45717</v>
      </c>
      <c r="O117" s="8" cm="1">
        <f t="array" ref="O117">_xlfn.IFS(E151&gt;=0.99,$S$3, E151&gt;=0.95,$S$4, E151&gt;= 0.93, $S$5, E151&gt;= 0.9,$S$6, E151&gt;= 0.85,$S$7, E151&gt;= 0.8,$S$8, E151&gt;= 0.75,$S$9, E151 &gt;= 0.7, $S$10, E151&gt;= 0.65, $S$11, E151&gt;= 0.6, $S$12, E151&gt;= 0.55,$S$13, E151 &gt;= 0.5,$S$14)</f>
        <v>0.33333333333333331</v>
      </c>
    </row>
    <row r="118" spans="1:15" ht="24" x14ac:dyDescent="0.25">
      <c r="A118" t="s">
        <v>223</v>
      </c>
      <c r="B118" t="s">
        <v>110</v>
      </c>
      <c r="C118">
        <v>-7.5</v>
      </c>
      <c r="D118" s="33" t="b">
        <v>1</v>
      </c>
      <c r="E118">
        <v>0.91500000000000004</v>
      </c>
      <c r="F118">
        <v>111.8</v>
      </c>
      <c r="G118">
        <v>107.7</v>
      </c>
      <c r="H118">
        <v>67.599999999999994</v>
      </c>
      <c r="I118">
        <v>105.6</v>
      </c>
      <c r="J118">
        <v>107.1</v>
      </c>
      <c r="K118">
        <v>66.5</v>
      </c>
      <c r="L118">
        <v>5.49</v>
      </c>
      <c r="M118" t="s">
        <v>15</v>
      </c>
      <c r="N118" s="22">
        <v>45717</v>
      </c>
      <c r="O118" s="8" cm="1">
        <f t="array" ref="O118">_xlfn.IFS(E152&gt;=0.99,$S$3, E152&gt;=0.95,$S$4, E152&gt;= 0.93, $S$5, E152&gt;= 0.9,$S$6, E152&gt;= 0.85,$S$7, E152&gt;= 0.8,$S$8, E152&gt;= 0.75,$S$9, E152 &gt;= 0.7, $S$10, E152&gt;= 0.65, $S$11, E152&gt;= 0.6, $S$12, E152&gt;= 0.55,$S$13, E152 &gt;= 0.5,$S$14)</f>
        <v>0.33333333333333331</v>
      </c>
    </row>
    <row r="119" spans="1:15" ht="24" x14ac:dyDescent="0.25">
      <c r="A119" t="s">
        <v>217</v>
      </c>
      <c r="B119" t="s">
        <v>124</v>
      </c>
      <c r="C119">
        <v>-8.5</v>
      </c>
      <c r="D119" s="33" t="b">
        <v>1</v>
      </c>
      <c r="E119">
        <v>0.89500000000000002</v>
      </c>
      <c r="F119">
        <v>109.7</v>
      </c>
      <c r="G119">
        <v>98.8</v>
      </c>
      <c r="H119">
        <v>67.099999999999994</v>
      </c>
      <c r="I119">
        <v>114.3</v>
      </c>
      <c r="J119">
        <v>107</v>
      </c>
      <c r="K119">
        <v>65</v>
      </c>
      <c r="L119">
        <v>3.600000000000001</v>
      </c>
      <c r="M119" t="s">
        <v>18</v>
      </c>
      <c r="N119" s="22">
        <v>45717</v>
      </c>
      <c r="O119" s="8" cm="1">
        <f t="array" ref="O119">_xlfn.IFS(E153&gt;=0.99,$S$3, E153&gt;=0.95,$S$4, E153&gt;= 0.93, $S$5, E153&gt;= 0.9,$S$6, E153&gt;= 0.85,$S$7, E153&gt;= 0.8,$S$8, E153&gt;= 0.75,$S$9, E153 &gt;= 0.7, $S$10, E153&gt;= 0.65, $S$11, E153&gt;= 0.6, $S$12, E153&gt;= 0.55,$S$13, E153 &gt;= 0.5,$S$14)</f>
        <v>0.56666666666666665</v>
      </c>
    </row>
    <row r="120" spans="1:15" ht="24" x14ac:dyDescent="0.25">
      <c r="A120" t="s">
        <v>205</v>
      </c>
      <c r="B120" t="s">
        <v>192</v>
      </c>
      <c r="C120">
        <v>-7</v>
      </c>
      <c r="D120" s="33" t="b">
        <v>1</v>
      </c>
      <c r="E120">
        <v>0.88</v>
      </c>
      <c r="F120">
        <v>117.9</v>
      </c>
      <c r="G120">
        <v>99</v>
      </c>
      <c r="H120">
        <v>68</v>
      </c>
      <c r="I120">
        <v>117.4</v>
      </c>
      <c r="J120">
        <v>104.4</v>
      </c>
      <c r="K120">
        <v>68.599999999999994</v>
      </c>
      <c r="L120">
        <v>5.9299999999999979</v>
      </c>
      <c r="M120" t="s">
        <v>15</v>
      </c>
      <c r="N120" s="22">
        <v>45717</v>
      </c>
      <c r="O120" s="8" cm="1">
        <f t="array" ref="O120">_xlfn.IFS(E154&gt;=0.99,$S$3, E154&gt;=0.95,$S$4, E154&gt;= 0.93, $S$5, E154&gt;= 0.9,$S$6, E154&gt;= 0.85,$S$7, E154&gt;= 0.8,$S$8, E154&gt;= 0.75,$S$9, E154 &gt;= 0.7, $S$10, E154&gt;= 0.65, $S$11, E154&gt;= 0.6, $S$12, E154&gt;= 0.55,$S$13, E154 &gt;= 0.5,$S$14)</f>
        <v>0.42857142857142855</v>
      </c>
    </row>
    <row r="121" spans="1:15" ht="24" x14ac:dyDescent="0.25">
      <c r="A121" t="s">
        <v>75</v>
      </c>
      <c r="B121" t="s">
        <v>231</v>
      </c>
      <c r="C121">
        <v>-6.5</v>
      </c>
      <c r="D121" s="33" t="b">
        <v>1</v>
      </c>
      <c r="E121">
        <v>0.875</v>
      </c>
      <c r="F121">
        <v>106.9</v>
      </c>
      <c r="G121">
        <v>106.6</v>
      </c>
      <c r="H121">
        <v>70.599999999999994</v>
      </c>
      <c r="I121">
        <v>103.2</v>
      </c>
      <c r="J121">
        <v>105.8</v>
      </c>
      <c r="K121">
        <v>66.099999999999994</v>
      </c>
      <c r="L121">
        <v>2.97</v>
      </c>
      <c r="M121" t="s">
        <v>15</v>
      </c>
      <c r="N121" s="22">
        <v>45717</v>
      </c>
      <c r="O121" s="8" cm="1">
        <f t="array" ref="O121">_xlfn.IFS(E155&gt;=0.99,$S$3, E155&gt;=0.95,$S$4, E155&gt;= 0.93, $S$5, E155&gt;= 0.9,$S$6, E155&gt;= 0.85,$S$7, E155&gt;= 0.8,$S$8, E155&gt;= 0.75,$S$9, E155 &gt;= 0.7, $S$10, E155&gt;= 0.65, $S$11, E155&gt;= 0.6, $S$12, E155&gt;= 0.55,$S$13, E155 &gt;= 0.5,$S$14)</f>
        <v>0.6875</v>
      </c>
    </row>
    <row r="122" spans="1:15" ht="24" x14ac:dyDescent="0.25">
      <c r="A122" t="s">
        <v>112</v>
      </c>
      <c r="B122" t="s">
        <v>85</v>
      </c>
      <c r="C122">
        <v>-5</v>
      </c>
      <c r="D122" s="33" t="b">
        <v>1</v>
      </c>
      <c r="E122">
        <v>0.86</v>
      </c>
      <c r="F122">
        <v>117.3</v>
      </c>
      <c r="G122">
        <v>100.2</v>
      </c>
      <c r="H122">
        <v>67.3</v>
      </c>
      <c r="I122">
        <v>114.9</v>
      </c>
      <c r="J122">
        <v>97.3</v>
      </c>
      <c r="K122">
        <v>66.8</v>
      </c>
      <c r="L122">
        <v>-0.42999999999999972</v>
      </c>
      <c r="M122" t="s">
        <v>18</v>
      </c>
      <c r="N122" s="22">
        <v>45717</v>
      </c>
      <c r="O122" s="8" cm="1">
        <f t="array" ref="O122">_xlfn.IFS(E156&gt;=0.99,$S$3, E156&gt;=0.95,$S$4, E156&gt;= 0.93, $S$5, E156&gt;= 0.9,$S$6, E156&gt;= 0.85,$S$7, E156&gt;= 0.8,$S$8, E156&gt;= 0.75,$S$9, E156 &gt;= 0.7, $S$10, E156&gt;= 0.65, $S$11, E156&gt;= 0.6, $S$12, E156&gt;= 0.55,$S$13, E156 &gt;= 0.5,$S$14)</f>
        <v>0.47222222222222221</v>
      </c>
    </row>
    <row r="123" spans="1:15" ht="24" x14ac:dyDescent="0.25">
      <c r="A123" t="s">
        <v>114</v>
      </c>
      <c r="B123" t="s">
        <v>245</v>
      </c>
      <c r="C123">
        <v>-6.5</v>
      </c>
      <c r="D123" s="33" t="b">
        <v>1</v>
      </c>
      <c r="E123">
        <v>0.85750000000000004</v>
      </c>
      <c r="F123">
        <v>109.6</v>
      </c>
      <c r="G123">
        <v>116.4</v>
      </c>
      <c r="H123">
        <v>69.099999999999994</v>
      </c>
      <c r="I123">
        <v>100.9</v>
      </c>
      <c r="J123">
        <v>112.9</v>
      </c>
      <c r="K123">
        <v>65.900000000000006</v>
      </c>
      <c r="L123">
        <v>5.1800000000000006</v>
      </c>
      <c r="M123" t="s">
        <v>15</v>
      </c>
      <c r="N123" s="22">
        <v>45717</v>
      </c>
      <c r="O123" s="8" cm="1">
        <f t="array" ref="O123">_xlfn.IFS(E157&gt;=0.99,$S$3, E157&gt;=0.95,$S$4, E157&gt;= 0.93, $S$5, E157&gt;= 0.9,$S$6, E157&gt;= 0.85,$S$7, E157&gt;= 0.8,$S$8, E157&gt;= 0.75,$S$9, E157 &gt;= 0.7, $S$10, E157&gt;= 0.65, $S$11, E157&gt;= 0.6, $S$12, E157&gt;= 0.55,$S$13, E157 &gt;= 0.5,$S$14)</f>
        <v>0.47222222222222221</v>
      </c>
    </row>
    <row r="124" spans="1:15" ht="24" x14ac:dyDescent="0.25">
      <c r="A124" t="s">
        <v>79</v>
      </c>
      <c r="B124" t="s">
        <v>129</v>
      </c>
      <c r="C124">
        <v>-6.5</v>
      </c>
      <c r="D124" s="33" t="b">
        <v>1</v>
      </c>
      <c r="E124">
        <v>0.85</v>
      </c>
      <c r="F124">
        <v>119.8</v>
      </c>
      <c r="G124">
        <v>104.9</v>
      </c>
      <c r="H124">
        <v>63.1</v>
      </c>
      <c r="I124">
        <v>116.9</v>
      </c>
      <c r="J124">
        <v>105.3</v>
      </c>
      <c r="K124">
        <v>67.8</v>
      </c>
      <c r="L124">
        <v>3.2199999999999989</v>
      </c>
      <c r="M124" t="s">
        <v>15</v>
      </c>
      <c r="N124" s="22">
        <v>45717</v>
      </c>
      <c r="O124" s="8" cm="1">
        <f t="array" ref="O124">_xlfn.IFS(E158&gt;=0.99,$S$3, E158&gt;=0.95,$S$4, E158&gt;= 0.93, $S$5, E158&gt;= 0.9,$S$6, E158&gt;= 0.85,$S$7, E158&gt;= 0.8,$S$8, E158&gt;= 0.75,$S$9, E158 &gt;= 0.7, $S$10, E158&gt;= 0.65, $S$11, E158&gt;= 0.6, $S$12, E158&gt;= 0.55,$S$13, E158 &gt;= 0.5,$S$14)</f>
        <v>0.47222222222222221</v>
      </c>
    </row>
    <row r="125" spans="1:15" ht="24" x14ac:dyDescent="0.25">
      <c r="A125" t="s">
        <v>215</v>
      </c>
      <c r="B125" t="s">
        <v>194</v>
      </c>
      <c r="C125">
        <v>-9</v>
      </c>
      <c r="D125" s="33" t="b">
        <v>1</v>
      </c>
      <c r="E125">
        <v>0.83</v>
      </c>
      <c r="F125">
        <v>123.5</v>
      </c>
      <c r="G125">
        <v>101.8</v>
      </c>
      <c r="H125">
        <v>67.3</v>
      </c>
      <c r="I125">
        <v>110.8</v>
      </c>
      <c r="J125">
        <v>94.6</v>
      </c>
      <c r="K125">
        <v>64.400000000000006</v>
      </c>
      <c r="L125">
        <v>5.5399999999999991</v>
      </c>
      <c r="M125" t="s">
        <v>15</v>
      </c>
      <c r="N125" s="22">
        <v>45717</v>
      </c>
      <c r="O125" s="8" cm="1">
        <f t="array" ref="O125">_xlfn.IFS(E159&gt;=0.99,$S$3, E159&gt;=0.95,$S$4, E159&gt;= 0.93, $S$5, E159&gt;= 0.9,$S$6, E159&gt;= 0.85,$S$7, E159&gt;= 0.8,$S$8, E159&gt;= 0.75,$S$9, E159 &gt;= 0.7, $S$10, E159&gt;= 0.65, $S$11, E159&gt;= 0.6, $S$12, E159&gt;= 0.55,$S$13, E159 &gt;= 0.5,$S$14)</f>
        <v>0.61538461538461542</v>
      </c>
    </row>
    <row r="126" spans="1:15" ht="24" x14ac:dyDescent="0.25">
      <c r="A126" t="s">
        <v>47</v>
      </c>
      <c r="B126" t="s">
        <v>122</v>
      </c>
      <c r="C126">
        <v>-5</v>
      </c>
      <c r="D126" s="33" t="b">
        <v>1</v>
      </c>
      <c r="E126">
        <v>0.82499999999999996</v>
      </c>
      <c r="F126">
        <v>101.9</v>
      </c>
      <c r="G126">
        <v>104.9</v>
      </c>
      <c r="H126">
        <v>63.2</v>
      </c>
      <c r="I126">
        <v>104.4</v>
      </c>
      <c r="J126">
        <v>113.4</v>
      </c>
      <c r="K126">
        <v>67.7</v>
      </c>
      <c r="L126">
        <v>6.0400000000000009</v>
      </c>
      <c r="M126" t="s">
        <v>15</v>
      </c>
      <c r="N126" s="22">
        <v>45717</v>
      </c>
      <c r="O126" s="8" cm="1">
        <f t="array" ref="O126">_xlfn.IFS(E160&gt;=0.99,$S$3, E160&gt;=0.95,$S$4, E160&gt;= 0.93, $S$5, E160&gt;= 0.9,$S$6, E160&gt;= 0.85,$S$7, E160&gt;= 0.8,$S$8, E160&gt;= 0.75,$S$9, E160 &gt;= 0.7, $S$10, E160&gt;= 0.65, $S$11, E160&gt;= 0.6, $S$12, E160&gt;= 0.55,$S$13, E160 &gt;= 0.5,$S$14)</f>
        <v>0.72727272727272729</v>
      </c>
    </row>
    <row r="127" spans="1:15" ht="24" x14ac:dyDescent="0.25">
      <c r="A127" t="s">
        <v>246</v>
      </c>
      <c r="B127" t="s">
        <v>87</v>
      </c>
      <c r="C127">
        <v>-4.5</v>
      </c>
      <c r="D127" s="33" t="b">
        <v>1</v>
      </c>
      <c r="E127">
        <v>0.81</v>
      </c>
      <c r="F127">
        <v>102.1</v>
      </c>
      <c r="G127">
        <v>111.6</v>
      </c>
      <c r="H127">
        <v>66.900000000000006</v>
      </c>
      <c r="I127">
        <v>101</v>
      </c>
      <c r="J127">
        <v>113.3</v>
      </c>
      <c r="K127">
        <v>67</v>
      </c>
      <c r="L127">
        <v>2.859999999999999</v>
      </c>
      <c r="M127" t="s">
        <v>15</v>
      </c>
      <c r="N127" s="22">
        <v>45717</v>
      </c>
      <c r="O127" s="8" cm="1">
        <f t="array" ref="O127">_xlfn.IFS(E161&gt;=0.99,$S$3, E161&gt;=0.95,$S$4, E161&gt;= 0.93, $S$5, E161&gt;= 0.9,$S$6, E161&gt;= 0.85,$S$7, E161&gt;= 0.8,$S$8, E161&gt;= 0.75,$S$9, E161 &gt;= 0.7, $S$10, E161&gt;= 0.65, $S$11, E161&gt;= 0.6, $S$12, E161&gt;= 0.55,$S$13, E161 &gt;= 0.5,$S$14)</f>
        <v>0.47619047619047616</v>
      </c>
    </row>
    <row r="128" spans="1:15" ht="24" x14ac:dyDescent="0.25">
      <c r="A128" t="s">
        <v>117</v>
      </c>
      <c r="B128" t="s">
        <v>126</v>
      </c>
      <c r="C128">
        <v>-4.5</v>
      </c>
      <c r="D128" s="33" t="b">
        <v>1</v>
      </c>
      <c r="E128">
        <v>0.8</v>
      </c>
      <c r="F128">
        <v>115.4</v>
      </c>
      <c r="G128">
        <v>91.9</v>
      </c>
      <c r="H128">
        <v>68.8</v>
      </c>
      <c r="I128">
        <v>123.9</v>
      </c>
      <c r="J128">
        <v>96.9</v>
      </c>
      <c r="K128">
        <v>65.900000000000006</v>
      </c>
      <c r="L128">
        <v>-3.5499999999999972</v>
      </c>
      <c r="M128" t="s">
        <v>18</v>
      </c>
      <c r="N128" s="22">
        <v>45717</v>
      </c>
      <c r="O128" s="8" cm="1">
        <f t="array" ref="O128">_xlfn.IFS(E162&gt;=0.99,$S$3, E162&gt;=0.95,$S$4, E162&gt;= 0.93, $S$5, E162&gt;= 0.9,$S$6, E162&gt;= 0.85,$S$7, E162&gt;= 0.8,$S$8, E162&gt;= 0.75,$S$9, E162 &gt;= 0.7, $S$10, E162&gt;= 0.65, $S$11, E162&gt;= 0.6, $S$12, E162&gt;= 0.55,$S$13, E162 &gt;= 0.5,$S$14)</f>
        <v>0.47619047619047616</v>
      </c>
    </row>
    <row r="129" spans="1:15" ht="24" x14ac:dyDescent="0.25">
      <c r="A129" t="s">
        <v>208</v>
      </c>
      <c r="B129" t="s">
        <v>33</v>
      </c>
      <c r="C129">
        <v>-7.5</v>
      </c>
      <c r="D129" s="33" t="b">
        <v>1</v>
      </c>
      <c r="E129">
        <v>0.78749999999999998</v>
      </c>
      <c r="F129">
        <v>106.6</v>
      </c>
      <c r="G129">
        <v>105.5</v>
      </c>
      <c r="H129">
        <v>63.6</v>
      </c>
      <c r="I129">
        <v>103.9</v>
      </c>
      <c r="J129">
        <v>108.1</v>
      </c>
      <c r="K129">
        <v>65.7</v>
      </c>
      <c r="L129">
        <v>5.16</v>
      </c>
      <c r="M129" t="s">
        <v>18</v>
      </c>
      <c r="N129" s="22">
        <v>45717</v>
      </c>
      <c r="O129" s="8" cm="1">
        <f t="array" ref="O129">_xlfn.IFS(E163&gt;=0.99,$S$3, E163&gt;=0.95,$S$4, E163&gt;= 0.93, $S$5, E163&gt;= 0.9,$S$6, E163&gt;= 0.85,$S$7, E163&gt;= 0.8,$S$8, E163&gt;= 0.75,$S$9, E163 &gt;= 0.7, $S$10, E163&gt;= 0.65, $S$11, E163&gt;= 0.6, $S$12, E163&gt;= 0.55,$S$13, E163 &gt;= 0.5,$S$14)</f>
        <v>0.75</v>
      </c>
    </row>
    <row r="130" spans="1:15" ht="24" x14ac:dyDescent="0.25">
      <c r="A130" t="s">
        <v>72</v>
      </c>
      <c r="B130" t="s">
        <v>107</v>
      </c>
      <c r="C130">
        <v>-4.5</v>
      </c>
      <c r="D130" s="33" t="b">
        <v>1</v>
      </c>
      <c r="E130">
        <v>0.76749999999999996</v>
      </c>
      <c r="F130">
        <v>106.4</v>
      </c>
      <c r="G130">
        <v>114.4</v>
      </c>
      <c r="H130">
        <v>67.400000000000006</v>
      </c>
      <c r="I130">
        <v>102.7</v>
      </c>
      <c r="J130">
        <v>110.4</v>
      </c>
      <c r="K130">
        <v>63.6</v>
      </c>
      <c r="L130">
        <v>-0.35000000000000048</v>
      </c>
      <c r="M130" t="s">
        <v>18</v>
      </c>
      <c r="N130" s="22">
        <v>45717</v>
      </c>
      <c r="O130" s="8" cm="1">
        <f t="array" ref="O130">_xlfn.IFS(E164&gt;=0.99,$S$3, E164&gt;=0.95,$S$4, E164&gt;= 0.93, $S$5, E164&gt;= 0.9,$S$6, E164&gt;= 0.85,$S$7, E164&gt;= 0.8,$S$8, E164&gt;= 0.75,$S$9, E164 &gt;= 0.7, $S$10, E164&gt;= 0.65, $S$11, E164&gt;= 0.6, $S$12, E164&gt;= 0.55,$S$13, E164 &gt;= 0.5,$S$14)</f>
        <v>0.33333333333333331</v>
      </c>
    </row>
    <row r="131" spans="1:15" ht="24" x14ac:dyDescent="0.25">
      <c r="A131" t="s">
        <v>158</v>
      </c>
      <c r="B131" t="s">
        <v>247</v>
      </c>
      <c r="C131">
        <v>-3</v>
      </c>
      <c r="D131" s="33" t="b">
        <v>1</v>
      </c>
      <c r="E131">
        <v>0.745</v>
      </c>
      <c r="F131">
        <v>112.6</v>
      </c>
      <c r="G131">
        <v>109.6</v>
      </c>
      <c r="H131">
        <v>64.2</v>
      </c>
      <c r="I131">
        <v>108.5</v>
      </c>
      <c r="J131">
        <v>107.4</v>
      </c>
      <c r="K131">
        <v>65.900000000000006</v>
      </c>
      <c r="L131">
        <v>2.0699999999999998</v>
      </c>
      <c r="M131" t="s">
        <v>18</v>
      </c>
      <c r="N131" s="22">
        <v>45717</v>
      </c>
      <c r="O131" s="8" cm="1">
        <f t="array" ref="O131">_xlfn.IFS(E165&gt;=0.99,$S$3, E165&gt;=0.95,$S$4, E165&gt;= 0.93, $S$5, E165&gt;= 0.9,$S$6, E165&gt;= 0.85,$S$7, E165&gt;= 0.8,$S$8, E165&gt;= 0.75,$S$9, E165 &gt;= 0.7, $S$10, E165&gt;= 0.65, $S$11, E165&gt;= 0.6, $S$12, E165&gt;= 0.55,$S$13, E165 &gt;= 0.5,$S$14)</f>
        <v>0.33333333333333331</v>
      </c>
    </row>
    <row r="132" spans="1:15" ht="24" x14ac:dyDescent="0.25">
      <c r="A132" t="s">
        <v>248</v>
      </c>
      <c r="B132" t="s">
        <v>249</v>
      </c>
      <c r="C132">
        <v>-5.5</v>
      </c>
      <c r="D132" s="33" t="b">
        <v>1</v>
      </c>
      <c r="E132">
        <v>0.745</v>
      </c>
      <c r="F132">
        <v>107.7</v>
      </c>
      <c r="G132">
        <v>109.2</v>
      </c>
      <c r="H132">
        <v>70.599999999999994</v>
      </c>
      <c r="I132">
        <v>108.9</v>
      </c>
      <c r="J132">
        <v>108.8</v>
      </c>
      <c r="K132">
        <v>69.400000000000006</v>
      </c>
      <c r="L132">
        <v>-1.51</v>
      </c>
      <c r="M132" t="s">
        <v>15</v>
      </c>
      <c r="N132" s="22">
        <v>45717</v>
      </c>
      <c r="O132" s="8" cm="1">
        <f t="array" ref="O132">_xlfn.IFS(E166&gt;=0.99,$S$3, E166&gt;=0.95,$S$4, E166&gt;= 0.93, $S$5, E166&gt;= 0.9,$S$6, E166&gt;= 0.85,$S$7, E166&gt;= 0.8,$S$8, E166&gt;= 0.75,$S$9, E166 &gt;= 0.7, $S$10, E166&gt;= 0.65, $S$11, E166&gt;= 0.6, $S$12, E166&gt;= 0.55,$S$13, E166 &gt;= 0.5,$S$14)</f>
        <v>0.56666666666666665</v>
      </c>
    </row>
    <row r="133" spans="1:15" ht="24" x14ac:dyDescent="0.25">
      <c r="A133" t="s">
        <v>62</v>
      </c>
      <c r="B133" t="s">
        <v>250</v>
      </c>
      <c r="C133">
        <v>-1</v>
      </c>
      <c r="D133" s="33" t="b">
        <v>1</v>
      </c>
      <c r="E133">
        <v>0.73499999999999999</v>
      </c>
      <c r="F133">
        <v>102.9</v>
      </c>
      <c r="G133">
        <v>106.1</v>
      </c>
      <c r="H133">
        <v>70.7</v>
      </c>
      <c r="I133">
        <v>108.5</v>
      </c>
      <c r="J133">
        <v>106</v>
      </c>
      <c r="K133">
        <v>70.8</v>
      </c>
      <c r="L133">
        <v>-5.7</v>
      </c>
      <c r="M133" t="s">
        <v>15</v>
      </c>
      <c r="N133" s="22">
        <v>45717</v>
      </c>
      <c r="O133" s="8" cm="1">
        <f t="array" ref="O133">_xlfn.IFS(E167&gt;=0.99,$S$3, E167&gt;=0.95,$S$4, E167&gt;= 0.93, $S$5, E167&gt;= 0.9,$S$6, E167&gt;= 0.85,$S$7, E167&gt;= 0.8,$S$8, E167&gt;= 0.75,$S$9, E167 &gt;= 0.7, $S$10, E167&gt;= 0.65, $S$11, E167&gt;= 0.6, $S$12, E167&gt;= 0.55,$S$13, E167 &gt;= 0.5,$S$14)</f>
        <v>0.56666666666666665</v>
      </c>
    </row>
    <row r="134" spans="1:15" ht="24" x14ac:dyDescent="0.25">
      <c r="A134" t="s">
        <v>113</v>
      </c>
      <c r="B134" t="s">
        <v>77</v>
      </c>
      <c r="C134">
        <v>-4</v>
      </c>
      <c r="D134" s="33" t="b">
        <v>1</v>
      </c>
      <c r="E134">
        <v>0.73499999999999999</v>
      </c>
      <c r="F134">
        <v>119.1</v>
      </c>
      <c r="G134">
        <v>87.6</v>
      </c>
      <c r="H134">
        <v>63.7</v>
      </c>
      <c r="I134">
        <v>127.8</v>
      </c>
      <c r="J134">
        <v>98.5</v>
      </c>
      <c r="K134">
        <v>74.8</v>
      </c>
      <c r="L134">
        <v>2.149999999999999</v>
      </c>
      <c r="M134" t="s">
        <v>18</v>
      </c>
      <c r="N134" s="22">
        <v>45717</v>
      </c>
      <c r="O134" s="8" cm="1">
        <f t="array" ref="O134">_xlfn.IFS(E168&gt;=0.99,$S$3, E168&gt;=0.95,$S$4, E168&gt;= 0.93, $S$5, E168&gt;= 0.9,$S$6, E168&gt;= 0.85,$S$7, E168&gt;= 0.8,$S$8, E168&gt;= 0.75,$S$9, E168 &gt;= 0.7, $S$10, E168&gt;= 0.65, $S$11, E168&gt;= 0.6, $S$12, E168&gt;= 0.55,$S$13, E168 &gt;= 0.5,$S$14)</f>
        <v>0.56666666666666665</v>
      </c>
    </row>
    <row r="135" spans="1:15" ht="24" x14ac:dyDescent="0.25">
      <c r="A135" t="s">
        <v>251</v>
      </c>
      <c r="B135" t="s">
        <v>230</v>
      </c>
      <c r="C135">
        <v>-2.5</v>
      </c>
      <c r="D135" s="33" t="b">
        <v>1</v>
      </c>
      <c r="E135">
        <v>0.71</v>
      </c>
      <c r="F135">
        <v>109.8</v>
      </c>
      <c r="G135">
        <v>113.8</v>
      </c>
      <c r="H135">
        <v>71</v>
      </c>
      <c r="I135">
        <v>105.2</v>
      </c>
      <c r="J135">
        <v>108.8</v>
      </c>
      <c r="K135">
        <v>67.3</v>
      </c>
      <c r="L135">
        <v>-0.33000000000000013</v>
      </c>
      <c r="M135" t="s">
        <v>18</v>
      </c>
      <c r="N135" s="22">
        <v>45717</v>
      </c>
      <c r="O135" s="8" cm="1">
        <f t="array" ref="O135">_xlfn.IFS(E169&gt;=0.99,$S$3, E169&gt;=0.95,$S$4, E169&gt;= 0.93, $S$5, E169&gt;= 0.9,$S$6, E169&gt;= 0.85,$S$7, E169&gt;= 0.8,$S$8, E169&gt;= 0.75,$S$9, E169 &gt;= 0.7, $S$10, E169&gt;= 0.65, $S$11, E169&gt;= 0.6, $S$12, E169&gt;= 0.55,$S$13, E169 &gt;= 0.5,$S$14)</f>
        <v>0.56666666666666665</v>
      </c>
    </row>
    <row r="136" spans="1:15" ht="24" x14ac:dyDescent="0.25">
      <c r="A136" t="s">
        <v>252</v>
      </c>
      <c r="B136" t="s">
        <v>88</v>
      </c>
      <c r="C136">
        <v>-3.5</v>
      </c>
      <c r="D136" s="33" t="b">
        <v>1</v>
      </c>
      <c r="E136">
        <v>0.7</v>
      </c>
      <c r="F136">
        <v>105.9</v>
      </c>
      <c r="G136">
        <v>111.7</v>
      </c>
      <c r="H136">
        <v>64.400000000000006</v>
      </c>
      <c r="I136">
        <v>105</v>
      </c>
      <c r="J136">
        <v>112.7</v>
      </c>
      <c r="K136">
        <v>69.3</v>
      </c>
      <c r="L136">
        <v>1.88</v>
      </c>
      <c r="M136" t="s">
        <v>15</v>
      </c>
      <c r="N136" s="22">
        <v>45717</v>
      </c>
      <c r="O136" s="8" cm="1">
        <f t="array" ref="O136">_xlfn.IFS(E170&gt;=0.99,$S$3, E170&gt;=0.95,$S$4, E170&gt;= 0.93, $S$5, E170&gt;= 0.9,$S$6, E170&gt;= 0.85,$S$7, E170&gt;= 0.8,$S$8, E170&gt;= 0.75,$S$9, E170 &gt;= 0.7, $S$10, E170&gt;= 0.65, $S$11, E170&gt;= 0.6, $S$12, E170&gt;= 0.55,$S$13, E170 &gt;= 0.5,$S$14)</f>
        <v>0.56666666666666665</v>
      </c>
    </row>
    <row r="137" spans="1:15" ht="24" x14ac:dyDescent="0.25">
      <c r="A137" t="s">
        <v>204</v>
      </c>
      <c r="B137" t="s">
        <v>214</v>
      </c>
      <c r="C137">
        <v>-3</v>
      </c>
      <c r="D137" s="33" t="b">
        <v>1</v>
      </c>
      <c r="E137">
        <v>0.69499999999999995</v>
      </c>
      <c r="F137">
        <v>106.9</v>
      </c>
      <c r="G137">
        <v>97.7</v>
      </c>
      <c r="H137">
        <v>66.7</v>
      </c>
      <c r="I137">
        <v>115.6</v>
      </c>
      <c r="J137">
        <v>105.1</v>
      </c>
      <c r="K137">
        <v>72</v>
      </c>
      <c r="L137">
        <v>-1.370000000000001</v>
      </c>
      <c r="M137" t="s">
        <v>15</v>
      </c>
      <c r="N137" s="22">
        <v>45717</v>
      </c>
      <c r="O137" s="8" cm="1">
        <f t="array" ref="O137">_xlfn.IFS(E171&gt;=0.99,$S$3, E171&gt;=0.95,$S$4, E171&gt;= 0.93, $S$5, E171&gt;= 0.9,$S$6, E171&gt;= 0.85,$S$7, E171&gt;= 0.8,$S$8, E171&gt;= 0.75,$S$9, E171 &gt;= 0.7, $S$10, E171&gt;= 0.65, $S$11, E171&gt;= 0.6, $S$12, E171&gt;= 0.55,$S$13, E171 &gt;= 0.5,$S$14)</f>
        <v>0.5</v>
      </c>
    </row>
    <row r="138" spans="1:15" ht="24" x14ac:dyDescent="0.25">
      <c r="A138" t="s">
        <v>39</v>
      </c>
      <c r="B138" t="s">
        <v>69</v>
      </c>
      <c r="C138">
        <v>-5.5</v>
      </c>
      <c r="D138" s="33" t="b">
        <v>1</v>
      </c>
      <c r="E138">
        <v>0.68</v>
      </c>
      <c r="F138">
        <v>101.5</v>
      </c>
      <c r="G138">
        <v>115</v>
      </c>
      <c r="H138">
        <v>65.3</v>
      </c>
      <c r="I138">
        <v>100.8</v>
      </c>
      <c r="J138">
        <v>121.2</v>
      </c>
      <c r="K138">
        <v>68.8</v>
      </c>
      <c r="L138">
        <v>6.93</v>
      </c>
      <c r="M138" t="s">
        <v>15</v>
      </c>
      <c r="N138" s="22">
        <v>45717</v>
      </c>
      <c r="O138" s="8" cm="1">
        <f t="array" ref="O138">_xlfn.IFS(E172&gt;=0.99,$S$3, E172&gt;=0.95,$S$4, E172&gt;= 0.93, $S$5, E172&gt;= 0.9,$S$6, E172&gt;= 0.85,$S$7, E172&gt;= 0.8,$S$8, E172&gt;= 0.75,$S$9, E172 &gt;= 0.7, $S$10, E172&gt;= 0.65, $S$11, E172&gt;= 0.6, $S$12, E172&gt;= 0.55,$S$13, E172 &gt;= 0.5,$S$14)</f>
        <v>0.5</v>
      </c>
    </row>
    <row r="139" spans="1:15" ht="24" x14ac:dyDescent="0.25">
      <c r="A139" t="s">
        <v>96</v>
      </c>
      <c r="B139" t="s">
        <v>111</v>
      </c>
      <c r="C139">
        <v>-2.5</v>
      </c>
      <c r="D139" s="33" t="b">
        <v>1</v>
      </c>
      <c r="E139">
        <v>0.66749999999999998</v>
      </c>
      <c r="F139">
        <v>102</v>
      </c>
      <c r="G139">
        <v>105.2</v>
      </c>
      <c r="H139">
        <v>71.3</v>
      </c>
      <c r="I139">
        <v>106</v>
      </c>
      <c r="J139">
        <v>109</v>
      </c>
      <c r="K139">
        <v>65.900000000000006</v>
      </c>
      <c r="L139">
        <v>-0.26000000000000018</v>
      </c>
      <c r="M139" t="s">
        <v>15</v>
      </c>
      <c r="N139" s="22">
        <v>45717</v>
      </c>
      <c r="O139" s="8" cm="1">
        <f t="array" ref="O139">_xlfn.IFS(E173&gt;=0.99,$S$3, E173&gt;=0.95,$S$4, E173&gt;= 0.93, $S$5, E173&gt;= 0.9,$S$6, E173&gt;= 0.85,$S$7, E173&gt;= 0.8,$S$8, E173&gt;= 0.75,$S$9, E173 &gt;= 0.7, $S$10, E173&gt;= 0.65, $S$11, E173&gt;= 0.6, $S$12, E173&gt;= 0.55,$S$13, E173 &gt;= 0.5,$S$14)</f>
        <v>0.5</v>
      </c>
    </row>
    <row r="140" spans="1:15" ht="24" x14ac:dyDescent="0.25">
      <c r="A140" t="s">
        <v>13</v>
      </c>
      <c r="B140" t="s">
        <v>86</v>
      </c>
      <c r="C140">
        <v>-3.5</v>
      </c>
      <c r="D140" s="33" t="b">
        <v>1</v>
      </c>
      <c r="E140">
        <v>0.66749999999999998</v>
      </c>
      <c r="F140">
        <v>102.4</v>
      </c>
      <c r="G140">
        <v>114.7</v>
      </c>
      <c r="H140">
        <v>67.400000000000006</v>
      </c>
      <c r="I140">
        <v>101</v>
      </c>
      <c r="J140">
        <v>112</v>
      </c>
      <c r="K140">
        <v>67.099999999999994</v>
      </c>
      <c r="L140">
        <v>-1.35</v>
      </c>
      <c r="M140" t="s">
        <v>18</v>
      </c>
      <c r="N140" s="22">
        <v>45717</v>
      </c>
      <c r="O140" s="8" cm="1">
        <f t="array" ref="O140">_xlfn.IFS(E174&gt;=0.99,$S$3, E174&gt;=0.95,$S$4, E174&gt;= 0.93, $S$5, E174&gt;= 0.9,$S$6, E174&gt;= 0.85,$S$7, E174&gt;= 0.8,$S$8, E174&gt;= 0.75,$S$9, E174 &gt;= 0.7, $S$10, E174&gt;= 0.65, $S$11, E174&gt;= 0.6, $S$12, E174&gt;= 0.55,$S$13, E174 &gt;= 0.5,$S$14)</f>
        <v>0.5</v>
      </c>
    </row>
    <row r="141" spans="1:15" ht="24" x14ac:dyDescent="0.25">
      <c r="A141" t="s">
        <v>25</v>
      </c>
      <c r="B141" t="s">
        <v>35</v>
      </c>
      <c r="C141">
        <v>-4</v>
      </c>
      <c r="D141" s="33" t="b">
        <v>1</v>
      </c>
      <c r="E141">
        <v>0.66</v>
      </c>
      <c r="F141">
        <v>110.8</v>
      </c>
      <c r="G141">
        <v>116.9</v>
      </c>
      <c r="H141">
        <v>74.400000000000006</v>
      </c>
      <c r="I141">
        <v>108.8</v>
      </c>
      <c r="J141">
        <v>117.9</v>
      </c>
      <c r="K141">
        <v>68.900000000000006</v>
      </c>
      <c r="L141">
        <v>2.93</v>
      </c>
      <c r="M141" t="s">
        <v>15</v>
      </c>
      <c r="N141" s="22">
        <v>45717</v>
      </c>
      <c r="O141" s="8" cm="1">
        <f t="array" ref="O141">_xlfn.IFS(E175&gt;=0.99,$S$3, E175&gt;=0.95,$S$4, E175&gt;= 0.93, $S$5, E175&gt;= 0.9,$S$6, E175&gt;= 0.85,$S$7, E175&gt;= 0.8,$S$8, E175&gt;= 0.75,$S$9, E175 &gt;= 0.7, $S$10, E175&gt;= 0.65, $S$11, E175&gt;= 0.6, $S$12, E175&gt;= 0.55,$S$13, E175 &gt;= 0.5,$S$14)</f>
        <v>0.5</v>
      </c>
    </row>
    <row r="142" spans="1:15" ht="24" x14ac:dyDescent="0.25">
      <c r="A142" t="s">
        <v>109</v>
      </c>
      <c r="B142" t="s">
        <v>253</v>
      </c>
      <c r="C142">
        <v>-3.5</v>
      </c>
      <c r="D142" s="33" t="b">
        <v>1</v>
      </c>
      <c r="E142">
        <v>0.65249999999999997</v>
      </c>
      <c r="F142">
        <v>107.8</v>
      </c>
      <c r="G142">
        <v>106.4</v>
      </c>
      <c r="H142">
        <v>65.3</v>
      </c>
      <c r="I142">
        <v>110.3</v>
      </c>
      <c r="J142">
        <v>106.8</v>
      </c>
      <c r="K142">
        <v>68.599999999999994</v>
      </c>
      <c r="L142">
        <v>-2.0699999999999998</v>
      </c>
      <c r="M142" t="s">
        <v>15</v>
      </c>
      <c r="N142" s="22">
        <v>45717</v>
      </c>
      <c r="O142" s="8" cm="1">
        <f t="array" ref="O142">_xlfn.IFS(E176&gt;=0.99,$S$3, E176&gt;=0.95,$S$4, E176&gt;= 0.93, $S$5, E176&gt;= 0.9,$S$6, E176&gt;= 0.85,$S$7, E176&gt;= 0.8,$S$8, E176&gt;= 0.75,$S$9, E176 &gt;= 0.7, $S$10, E176&gt;= 0.65, $S$11, E176&gt;= 0.6, $S$12, E176&gt;= 0.55,$S$13, E176 &gt;= 0.5,$S$14)</f>
        <v>0.6875</v>
      </c>
    </row>
    <row r="143" spans="1:15" ht="24" x14ac:dyDescent="0.25">
      <c r="A143" t="s">
        <v>239</v>
      </c>
      <c r="B143" t="s">
        <v>89</v>
      </c>
      <c r="C143">
        <v>-1.5</v>
      </c>
      <c r="D143" s="33" t="b">
        <v>1</v>
      </c>
      <c r="E143">
        <v>0.60499999999999998</v>
      </c>
      <c r="F143">
        <v>107.7</v>
      </c>
      <c r="G143">
        <v>116.3</v>
      </c>
      <c r="H143">
        <v>70.3</v>
      </c>
      <c r="I143">
        <v>104.8</v>
      </c>
      <c r="J143">
        <v>114.6</v>
      </c>
      <c r="K143">
        <v>66.599999999999994</v>
      </c>
      <c r="L143">
        <v>1.100000000000001</v>
      </c>
      <c r="M143" t="s">
        <v>18</v>
      </c>
      <c r="N143" s="22">
        <v>45717</v>
      </c>
      <c r="O143" s="8" cm="1">
        <f t="array" ref="O143">_xlfn.IFS(E177&gt;=0.99,$S$3, E177&gt;=0.95,$S$4, E177&gt;= 0.93, $S$5, E177&gt;= 0.9,$S$6, E177&gt;= 0.85,$S$7, E177&gt;= 0.8,$S$8, E177&gt;= 0.75,$S$9, E177 &gt;= 0.7, $S$10, E177&gt;= 0.65, $S$11, E177&gt;= 0.6, $S$12, E177&gt;= 0.55,$S$13, E177 &gt;= 0.5,$S$14)</f>
        <v>0.6875</v>
      </c>
    </row>
    <row r="144" spans="1:15" ht="24" x14ac:dyDescent="0.25">
      <c r="A144" t="s">
        <v>128</v>
      </c>
      <c r="B144" t="s">
        <v>43</v>
      </c>
      <c r="C144">
        <v>-2</v>
      </c>
      <c r="D144" s="33" t="b">
        <v>1</v>
      </c>
      <c r="E144">
        <v>0.58499999999999996</v>
      </c>
      <c r="F144">
        <v>114.3</v>
      </c>
      <c r="G144">
        <v>99</v>
      </c>
      <c r="H144">
        <v>69.400000000000006</v>
      </c>
      <c r="I144">
        <v>116.7</v>
      </c>
      <c r="J144">
        <v>97.4</v>
      </c>
      <c r="K144">
        <v>68.099999999999994</v>
      </c>
      <c r="L144">
        <v>-4.009999999999998</v>
      </c>
      <c r="M144" t="s">
        <v>15</v>
      </c>
      <c r="N144" s="22">
        <v>45717</v>
      </c>
      <c r="O144" s="8" cm="1">
        <f t="array" ref="O144">_xlfn.IFS(E178&gt;=0.99,$S$3, E178&gt;=0.95,$S$4, E178&gt;= 0.93, $S$5, E178&gt;= 0.9,$S$6, E178&gt;= 0.85,$S$7, E178&gt;= 0.8,$S$8, E178&gt;= 0.75,$S$9, E178 &gt;= 0.7, $S$10, E178&gt;= 0.65, $S$11, E178&gt;= 0.6, $S$12, E178&gt;= 0.55,$S$13, E178 &gt;= 0.5,$S$14)</f>
        <v>0.3</v>
      </c>
    </row>
    <row r="145" spans="1:15" ht="24" x14ac:dyDescent="0.25">
      <c r="A145" t="s">
        <v>188</v>
      </c>
      <c r="B145" t="s">
        <v>206</v>
      </c>
      <c r="C145">
        <v>-9.5</v>
      </c>
      <c r="D145" s="33" t="b">
        <v>1</v>
      </c>
      <c r="E145">
        <v>1</v>
      </c>
      <c r="F145">
        <v>99.8</v>
      </c>
      <c r="G145">
        <v>102.4</v>
      </c>
      <c r="H145">
        <v>64.900000000000006</v>
      </c>
      <c r="I145">
        <v>99.7</v>
      </c>
      <c r="J145">
        <v>114.8</v>
      </c>
      <c r="K145">
        <v>65.2</v>
      </c>
      <c r="L145">
        <v>12.41</v>
      </c>
      <c r="M145" t="s">
        <v>18</v>
      </c>
      <c r="N145" s="22">
        <v>45716</v>
      </c>
      <c r="O145" s="8" cm="1">
        <f t="array" ref="O145">_xlfn.IFS(E179&gt;=0.99,$S$3, E179&gt;=0.95,$S$4, E179&gt;= 0.93, $S$5, E179&gt;= 0.9,$S$6, E179&gt;= 0.85,$S$7, E179&gt;= 0.8,$S$8, E179&gt;= 0.75,$S$9, E179 &gt;= 0.7, $S$10, E179&gt;= 0.65, $S$11, E179&gt;= 0.6, $S$12, E179&gt;= 0.55,$S$13, E179 &gt;= 0.5,$S$14)</f>
        <v>0.61538461538461542</v>
      </c>
    </row>
    <row r="146" spans="1:15" ht="24" x14ac:dyDescent="0.25">
      <c r="A146" t="s">
        <v>216</v>
      </c>
      <c r="B146" t="s">
        <v>238</v>
      </c>
      <c r="C146">
        <v>-14.5</v>
      </c>
      <c r="D146" s="33" t="b">
        <v>1</v>
      </c>
      <c r="E146">
        <v>0.99</v>
      </c>
      <c r="F146">
        <v>117</v>
      </c>
      <c r="G146">
        <v>96.2</v>
      </c>
      <c r="H146">
        <v>66.599999999999994</v>
      </c>
      <c r="I146">
        <v>112</v>
      </c>
      <c r="J146">
        <v>109.1</v>
      </c>
      <c r="K146">
        <v>65.599999999999994</v>
      </c>
      <c r="L146">
        <v>17.850000000000001</v>
      </c>
      <c r="M146" t="s">
        <v>15</v>
      </c>
      <c r="N146" s="22">
        <v>45716</v>
      </c>
      <c r="O146" s="8" cm="1">
        <f t="array" ref="O146">_xlfn.IFS(E180&gt;=0.99,$S$3, E180&gt;=0.95,$S$4, E180&gt;= 0.93, $S$5, E180&gt;= 0.9,$S$6, E180&gt;= 0.85,$S$7, E180&gt;= 0.8,$S$8, E180&gt;= 0.75,$S$9, E180 &gt;= 0.7, $S$10, E180&gt;= 0.65, $S$11, E180&gt;= 0.6, $S$12, E180&gt;= 0.55,$S$13, E180 &gt;= 0.5,$S$14)</f>
        <v>0.72727272727272729</v>
      </c>
    </row>
    <row r="147" spans="1:15" ht="24" x14ac:dyDescent="0.25">
      <c r="A147" t="s">
        <v>239</v>
      </c>
      <c r="B147" t="s">
        <v>99</v>
      </c>
      <c r="C147">
        <v>-8.5</v>
      </c>
      <c r="D147" s="33" t="b">
        <v>1</v>
      </c>
      <c r="E147">
        <v>0.98</v>
      </c>
      <c r="F147">
        <v>113.1</v>
      </c>
      <c r="G147">
        <v>112.8</v>
      </c>
      <c r="H147">
        <v>71</v>
      </c>
      <c r="I147">
        <v>104.8</v>
      </c>
      <c r="J147">
        <v>114.5</v>
      </c>
      <c r="K147">
        <v>66.7</v>
      </c>
      <c r="L147">
        <v>10.01</v>
      </c>
      <c r="M147" t="s">
        <v>15</v>
      </c>
      <c r="N147" s="22">
        <v>45716</v>
      </c>
      <c r="O147" s="8" cm="1">
        <f t="array" ref="O147">_xlfn.IFS(E181&gt;=0.99,$S$3, E181&gt;=0.95,$S$4, E181&gt;= 0.93, $S$5, E181&gt;= 0.9,$S$6, E181&gt;= 0.85,$S$7, E181&gt;= 0.8,$S$8, E181&gt;= 0.75,$S$9, E181 &gt;= 0.7, $S$10, E181&gt;= 0.65, $S$11, E181&gt;= 0.6, $S$12, E181&gt;= 0.55,$S$13, E181 &gt;= 0.5,$S$14)</f>
        <v>0.56666666666666665</v>
      </c>
    </row>
    <row r="148" spans="1:15" ht="24" x14ac:dyDescent="0.25">
      <c r="A148" t="s">
        <v>240</v>
      </c>
      <c r="B148" t="s">
        <v>241</v>
      </c>
      <c r="C148">
        <v>-11</v>
      </c>
      <c r="D148" s="33" t="b">
        <v>1</v>
      </c>
      <c r="E148">
        <v>0.92500000000000004</v>
      </c>
      <c r="F148">
        <v>102.5</v>
      </c>
      <c r="G148">
        <v>105.3</v>
      </c>
      <c r="H148">
        <v>71.8</v>
      </c>
      <c r="I148">
        <v>96.8</v>
      </c>
      <c r="J148">
        <v>108.1</v>
      </c>
      <c r="K148">
        <v>63.4</v>
      </c>
      <c r="L148">
        <v>8.59</v>
      </c>
      <c r="M148" t="s">
        <v>18</v>
      </c>
      <c r="N148" s="22">
        <v>45716</v>
      </c>
      <c r="O148" s="8" cm="1">
        <f t="array" ref="O148">_xlfn.IFS(E182&gt;=0.99,$S$3, E182&gt;=0.95,$S$4, E182&gt;= 0.93, $S$5, E182&gt;= 0.9,$S$6, E182&gt;= 0.85,$S$7, E182&gt;= 0.8,$S$8, E182&gt;= 0.75,$S$9, E182 &gt;= 0.7, $S$10, E182&gt;= 0.65, $S$11, E182&gt;= 0.6, $S$12, E182&gt;= 0.55,$S$13, E182 &gt;= 0.5,$S$14)</f>
        <v>0.56666666666666665</v>
      </c>
    </row>
    <row r="149" spans="1:15" ht="24" x14ac:dyDescent="0.25">
      <c r="A149" t="s">
        <v>242</v>
      </c>
      <c r="B149" t="s">
        <v>67</v>
      </c>
      <c r="C149">
        <v>-5.5</v>
      </c>
      <c r="D149" s="33" t="b">
        <v>1</v>
      </c>
      <c r="E149">
        <v>0.88500000000000001</v>
      </c>
      <c r="F149">
        <v>123.7</v>
      </c>
      <c r="G149">
        <v>99.3</v>
      </c>
      <c r="H149">
        <v>65.5</v>
      </c>
      <c r="I149">
        <v>116.3</v>
      </c>
      <c r="J149">
        <v>94.6</v>
      </c>
      <c r="K149">
        <v>65</v>
      </c>
      <c r="L149">
        <v>2.68</v>
      </c>
      <c r="M149" t="s">
        <v>15</v>
      </c>
      <c r="N149" s="22">
        <v>45716</v>
      </c>
      <c r="O149" s="8" cm="1">
        <f t="array" ref="O149">_xlfn.IFS(E183&gt;=0.99,$S$3, E183&gt;=0.95,$S$4, E183&gt;= 0.93, $S$5, E183&gt;= 0.9,$S$6, E183&gt;= 0.85,$S$7, E183&gt;= 0.8,$S$8, E183&gt;= 0.75,$S$9, E183 &gt;= 0.7, $S$10, E183&gt;= 0.65, $S$11, E183&gt;= 0.6, $S$12, E183&gt;= 0.55,$S$13, E183 &gt;= 0.5,$S$14)</f>
        <v>0.56666666666666665</v>
      </c>
    </row>
    <row r="150" spans="1:15" ht="24" x14ac:dyDescent="0.25">
      <c r="A150" t="s">
        <v>191</v>
      </c>
      <c r="B150" t="s">
        <v>176</v>
      </c>
      <c r="C150">
        <v>-4</v>
      </c>
      <c r="D150" s="33" t="b">
        <v>1</v>
      </c>
      <c r="E150">
        <v>0.78500000000000003</v>
      </c>
      <c r="F150">
        <v>115.1</v>
      </c>
      <c r="G150">
        <v>99</v>
      </c>
      <c r="H150">
        <v>65.099999999999994</v>
      </c>
      <c r="I150">
        <v>118.8</v>
      </c>
      <c r="J150">
        <v>107.4</v>
      </c>
      <c r="K150">
        <v>70.3</v>
      </c>
      <c r="L150">
        <v>4.67</v>
      </c>
      <c r="M150" t="s">
        <v>15</v>
      </c>
      <c r="N150" s="22">
        <v>45716</v>
      </c>
      <c r="O150" s="8" cm="1">
        <f t="array" ref="O150">_xlfn.IFS(E184&gt;=0.99,$S$3, E184&gt;=0.95,$S$4, E184&gt;= 0.93, $S$5, E184&gt;= 0.9,$S$6, E184&gt;= 0.85,$S$7, E184&gt;= 0.8,$S$8, E184&gt;= 0.75,$S$9, E184 &gt;= 0.7, $S$10, E184&gt;= 0.65, $S$11, E184&gt;= 0.6, $S$12, E184&gt;= 0.55,$S$13, E184 &gt;= 0.5,$S$14)</f>
        <v>0.5</v>
      </c>
    </row>
    <row r="151" spans="1:15" ht="24" x14ac:dyDescent="0.25">
      <c r="A151" t="s">
        <v>190</v>
      </c>
      <c r="B151" t="s">
        <v>184</v>
      </c>
      <c r="C151">
        <v>-1</v>
      </c>
      <c r="D151" s="33" t="b">
        <v>1</v>
      </c>
      <c r="E151">
        <v>0.53500000000000003</v>
      </c>
      <c r="F151">
        <v>101.3</v>
      </c>
      <c r="G151">
        <v>115.2</v>
      </c>
      <c r="H151">
        <v>65.2</v>
      </c>
      <c r="I151">
        <v>97.7</v>
      </c>
      <c r="J151">
        <v>107.4</v>
      </c>
      <c r="K151">
        <v>68.900000000000006</v>
      </c>
      <c r="L151">
        <v>-4.1999999999999993</v>
      </c>
      <c r="M151" t="s">
        <v>18</v>
      </c>
      <c r="N151" s="22">
        <v>45716</v>
      </c>
      <c r="O151" s="8" cm="1">
        <f t="array" ref="O151">_xlfn.IFS(E185&gt;=0.99,$S$3, E185&gt;=0.95,$S$4, E185&gt;= 0.93, $S$5, E185&gt;= 0.9,$S$6, E185&gt;= 0.85,$S$7, E185&gt;= 0.8,$S$8, E185&gt;= 0.75,$S$9, E185 &gt;= 0.7, $S$10, E185&gt;= 0.65, $S$11, E185&gt;= 0.6, $S$12, E185&gt;= 0.55,$S$13, E185 &gt;= 0.5,$S$14)</f>
        <v>0.5</v>
      </c>
    </row>
    <row r="152" spans="1:15" ht="24" x14ac:dyDescent="0.25">
      <c r="A152" t="s">
        <v>183</v>
      </c>
      <c r="B152" t="s">
        <v>243</v>
      </c>
      <c r="C152">
        <v>-2</v>
      </c>
      <c r="D152" s="33" t="b">
        <v>0</v>
      </c>
      <c r="E152">
        <v>0.51</v>
      </c>
      <c r="F152">
        <v>106</v>
      </c>
      <c r="G152">
        <v>115.1</v>
      </c>
      <c r="H152">
        <v>70.5</v>
      </c>
      <c r="I152">
        <v>100.7</v>
      </c>
      <c r="J152">
        <v>106.4</v>
      </c>
      <c r="K152">
        <v>64.400000000000006</v>
      </c>
      <c r="L152">
        <v>-3.399999999999999</v>
      </c>
      <c r="M152" t="s">
        <v>18</v>
      </c>
      <c r="N152" s="22">
        <v>45716</v>
      </c>
      <c r="O152" s="8" cm="1">
        <f t="array" ref="O152">_xlfn.IFS(E186&gt;=0.99,$S$3, E186&gt;=0.95,$S$4, E186&gt;= 0.93, $S$5, E186&gt;= 0.9,$S$6, E186&gt;= 0.85,$S$7, E186&gt;= 0.8,$S$8, E186&gt;= 0.75,$S$9, E186 &gt;= 0.7, $S$10, E186&gt;= 0.65, $S$11, E186&gt;= 0.6, $S$12, E186&gt;= 0.55,$S$13, E186 &gt;= 0.5,$S$14)</f>
        <v>0.5</v>
      </c>
    </row>
    <row r="153" spans="1:15" ht="24" x14ac:dyDescent="0.25">
      <c r="A153" t="s">
        <v>166</v>
      </c>
      <c r="B153" t="s">
        <v>186</v>
      </c>
      <c r="C153">
        <v>-10.5</v>
      </c>
      <c r="D153" s="33" t="b">
        <v>1</v>
      </c>
      <c r="E153">
        <v>0.995</v>
      </c>
      <c r="F153">
        <v>117.5</v>
      </c>
      <c r="G153">
        <v>94.7</v>
      </c>
      <c r="H153">
        <v>69.8</v>
      </c>
      <c r="I153">
        <v>116</v>
      </c>
      <c r="J153">
        <v>104.8</v>
      </c>
      <c r="K153">
        <v>68.8</v>
      </c>
      <c r="L153">
        <v>11.69</v>
      </c>
      <c r="M153" t="s">
        <v>18</v>
      </c>
      <c r="N153" s="22">
        <v>45715</v>
      </c>
      <c r="O153" s="8" cm="1">
        <f t="array" ref="O153">_xlfn.IFS(E187&gt;=0.99,$S$3, E187&gt;=0.95,$S$4, E187&gt;= 0.93, $S$5, E187&gt;= 0.9,$S$6, E187&gt;= 0.85,$S$7, E187&gt;= 0.8,$S$8, E187&gt;= 0.75,$S$9, E187 &gt;= 0.7, $S$10, E187&gt;= 0.65, $S$11, E187&gt;= 0.6, $S$12, E187&gt;= 0.55,$S$13, E187 &gt;= 0.5,$S$14)</f>
        <v>0.5</v>
      </c>
    </row>
    <row r="154" spans="1:15" ht="24" x14ac:dyDescent="0.25">
      <c r="A154" t="s">
        <v>228</v>
      </c>
      <c r="B154" t="s">
        <v>229</v>
      </c>
      <c r="C154">
        <v>-11.5</v>
      </c>
      <c r="D154" s="33" t="b">
        <v>1</v>
      </c>
      <c r="E154">
        <v>0.94</v>
      </c>
      <c r="F154">
        <v>106.5</v>
      </c>
      <c r="G154">
        <v>100.3</v>
      </c>
      <c r="H154">
        <v>72</v>
      </c>
      <c r="I154">
        <v>108.4</v>
      </c>
      <c r="J154">
        <v>112</v>
      </c>
      <c r="K154">
        <v>67.900000000000006</v>
      </c>
      <c r="L154">
        <v>9.68</v>
      </c>
      <c r="M154" t="s">
        <v>15</v>
      </c>
      <c r="N154" s="22">
        <v>45715</v>
      </c>
      <c r="O154" s="8" cm="1">
        <f t="array" ref="O154">_xlfn.IFS(E188&gt;=0.99,$S$3, E188&gt;=0.95,$S$4, E188&gt;= 0.93, $S$5, E188&gt;= 0.9,$S$6, E188&gt;= 0.85,$S$7, E188&gt;= 0.8,$S$8, E188&gt;= 0.75,$S$9, E188 &gt;= 0.7, $S$10, E188&gt;= 0.65, $S$11, E188&gt;= 0.6, $S$12, E188&gt;= 0.55,$S$13, E188 &gt;= 0.5,$S$14)</f>
        <v>0.3</v>
      </c>
    </row>
    <row r="155" spans="1:15" ht="24" x14ac:dyDescent="0.25">
      <c r="A155" t="s">
        <v>230</v>
      </c>
      <c r="B155" t="s">
        <v>33</v>
      </c>
      <c r="C155">
        <v>-6</v>
      </c>
      <c r="D155" s="33" t="b">
        <v>1</v>
      </c>
      <c r="E155">
        <v>0.92500000000000004</v>
      </c>
      <c r="F155">
        <v>105.6</v>
      </c>
      <c r="G155">
        <v>105.1</v>
      </c>
      <c r="H155">
        <v>63.6</v>
      </c>
      <c r="I155">
        <v>109.3</v>
      </c>
      <c r="J155">
        <v>112.7</v>
      </c>
      <c r="K155">
        <v>71.099999999999994</v>
      </c>
      <c r="L155">
        <v>3.91</v>
      </c>
      <c r="M155" t="s">
        <v>15</v>
      </c>
      <c r="N155" s="22">
        <v>45715</v>
      </c>
      <c r="O155" s="8" cm="1">
        <f t="array" ref="O155">_xlfn.IFS(E189&gt;=0.99,$S$3, E189&gt;=0.95,$S$4, E189&gt;= 0.93, $S$5, E189&gt;= 0.9,$S$6, E189&gt;= 0.85,$S$7, E189&gt;= 0.8,$S$8, E189&gt;= 0.75,$S$9, E189 &gt;= 0.7, $S$10, E189&gt;= 0.65, $S$11, E189&gt;= 0.6, $S$12, E189&gt;= 0.55,$S$13, E189 &gt;= 0.5,$S$14)</f>
        <v>0.61538461538461542</v>
      </c>
    </row>
    <row r="156" spans="1:15" ht="24" x14ac:dyDescent="0.25">
      <c r="A156" t="s">
        <v>32</v>
      </c>
      <c r="B156" t="s">
        <v>231</v>
      </c>
      <c r="C156">
        <v>-8.5</v>
      </c>
      <c r="D156" s="33" t="b">
        <v>1</v>
      </c>
      <c r="E156">
        <v>0.83</v>
      </c>
      <c r="F156">
        <v>106.6</v>
      </c>
      <c r="G156">
        <v>106.3</v>
      </c>
      <c r="H156">
        <v>70.400000000000006</v>
      </c>
      <c r="I156">
        <v>109</v>
      </c>
      <c r="J156">
        <v>117.1</v>
      </c>
      <c r="K156">
        <v>70.599999999999994</v>
      </c>
      <c r="L156">
        <v>8.2899999999999991</v>
      </c>
      <c r="M156" t="s">
        <v>15</v>
      </c>
      <c r="N156" s="22">
        <v>45715</v>
      </c>
      <c r="O156" s="8" cm="1">
        <f t="array" ref="O156">_xlfn.IFS(E190&gt;=0.99,$S$3, E190&gt;=0.95,$S$4, E190&gt;= 0.93, $S$5, E190&gt;= 0.9,$S$6, E190&gt;= 0.85,$S$7, E190&gt;= 0.8,$S$8, E190&gt;= 0.75,$S$9, E190 &gt;= 0.7, $S$10, E190&gt;= 0.65, $S$11, E190&gt;= 0.6, $S$12, E190&gt;= 0.55,$S$13, E190 &gt;= 0.5,$S$14)</f>
        <v>0.45</v>
      </c>
    </row>
    <row r="157" spans="1:15" ht="24" x14ac:dyDescent="0.25">
      <c r="A157" t="s">
        <v>45</v>
      </c>
      <c r="B157" t="s">
        <v>197</v>
      </c>
      <c r="C157">
        <v>-3.5</v>
      </c>
      <c r="D157" s="33" t="b">
        <v>1</v>
      </c>
      <c r="E157">
        <v>0.81</v>
      </c>
      <c r="F157">
        <v>106.6</v>
      </c>
      <c r="G157">
        <v>106.1</v>
      </c>
      <c r="H157">
        <v>66.099999999999994</v>
      </c>
      <c r="I157">
        <v>108.5</v>
      </c>
      <c r="J157">
        <v>107.6</v>
      </c>
      <c r="K157">
        <v>66.5</v>
      </c>
      <c r="L157">
        <v>-0.46</v>
      </c>
      <c r="M157" t="s">
        <v>15</v>
      </c>
      <c r="N157" s="22">
        <v>45715</v>
      </c>
      <c r="O157" s="8" cm="1">
        <f t="array" ref="O157">_xlfn.IFS(E191&gt;=0.99,$S$3, E191&gt;=0.95,$S$4, E191&gt;= 0.93, $S$5, E191&gt;= 0.9,$S$6, E191&gt;= 0.85,$S$7, E191&gt;= 0.8,$S$8, E191&gt;= 0.75,$S$9, E191 &gt;= 0.7, $S$10, E191&gt;= 0.65, $S$11, E191&gt;= 0.6, $S$12, E191&gt;= 0.55,$S$13, E191 &gt;= 0.5,$S$14)</f>
        <v>0.45</v>
      </c>
    </row>
    <row r="158" spans="1:15" ht="24" x14ac:dyDescent="0.25">
      <c r="A158" t="s">
        <v>24</v>
      </c>
      <c r="B158" t="s">
        <v>34</v>
      </c>
      <c r="C158">
        <v>-7</v>
      </c>
      <c r="D158" s="33" t="b">
        <v>1</v>
      </c>
      <c r="E158">
        <v>0.80500000000000005</v>
      </c>
      <c r="F158">
        <v>101.8</v>
      </c>
      <c r="G158">
        <v>108.2</v>
      </c>
      <c r="H158">
        <v>64.8</v>
      </c>
      <c r="I158">
        <v>99</v>
      </c>
      <c r="J158">
        <v>112.9</v>
      </c>
      <c r="K158">
        <v>66.599999999999994</v>
      </c>
      <c r="L158">
        <v>7.43</v>
      </c>
      <c r="M158" t="s">
        <v>15</v>
      </c>
      <c r="N158" s="22">
        <v>45715</v>
      </c>
      <c r="O158" s="8" cm="1">
        <f t="array" ref="O158">_xlfn.IFS(E192&gt;=0.99,$S$3, E192&gt;=0.95,$S$4, E192&gt;= 0.93, $S$5, E192&gt;= 0.9,$S$6, E192&gt;= 0.85,$S$7, E192&gt;= 0.8,$S$8, E192&gt;= 0.75,$S$9, E192 &gt;= 0.7, $S$10, E192&gt;= 0.65, $S$11, E192&gt;= 0.6, $S$12, E192&gt;= 0.55,$S$13, E192 &gt;= 0.5,$S$14)</f>
        <v>0.33333333333333331</v>
      </c>
    </row>
    <row r="159" spans="1:15" ht="24" x14ac:dyDescent="0.25">
      <c r="A159" t="s">
        <v>232</v>
      </c>
      <c r="B159" t="s">
        <v>233</v>
      </c>
      <c r="C159">
        <v>-5.5</v>
      </c>
      <c r="D159" s="33" t="b">
        <v>1</v>
      </c>
      <c r="E159">
        <v>0.78500000000000003</v>
      </c>
      <c r="F159">
        <v>109.1</v>
      </c>
      <c r="G159">
        <v>106.9</v>
      </c>
      <c r="H159">
        <v>68.400000000000006</v>
      </c>
      <c r="I159">
        <v>107.6</v>
      </c>
      <c r="J159">
        <v>110.2</v>
      </c>
      <c r="K159">
        <v>63.7</v>
      </c>
      <c r="L159">
        <v>4.68</v>
      </c>
      <c r="M159" t="s">
        <v>18</v>
      </c>
      <c r="N159" s="22">
        <v>45715</v>
      </c>
      <c r="O159" s="8" cm="1">
        <f t="array" ref="O159">_xlfn.IFS(E193&gt;=0.99,$S$3, E193&gt;=0.95,$S$4, E193&gt;= 0.93, $S$5, E193&gt;= 0.9,$S$6, E193&gt;= 0.85,$S$7, E193&gt;= 0.8,$S$8, E193&gt;= 0.75,$S$9, E193 &gt;= 0.7, $S$10, E193&gt;= 0.65, $S$11, E193&gt;= 0.6, $S$12, E193&gt;= 0.55,$S$13, E193 &gt;= 0.5,$S$14)</f>
        <v>0.5</v>
      </c>
    </row>
    <row r="160" spans="1:15" ht="24" x14ac:dyDescent="0.25">
      <c r="A160" t="s">
        <v>38</v>
      </c>
      <c r="B160" t="s">
        <v>199</v>
      </c>
      <c r="C160">
        <v>-4.5</v>
      </c>
      <c r="D160" s="33" t="b">
        <v>1</v>
      </c>
      <c r="E160">
        <v>0.69499999999999995</v>
      </c>
      <c r="F160">
        <v>94.8</v>
      </c>
      <c r="G160">
        <v>106.3</v>
      </c>
      <c r="H160">
        <v>65</v>
      </c>
      <c r="I160">
        <v>94.3</v>
      </c>
      <c r="J160">
        <v>112.1</v>
      </c>
      <c r="K160">
        <v>60.4</v>
      </c>
      <c r="L160">
        <v>6.3800000000000008</v>
      </c>
      <c r="M160" t="s">
        <v>15</v>
      </c>
      <c r="N160" s="22">
        <v>45715</v>
      </c>
      <c r="O160" s="8" cm="1">
        <f t="array" ref="O160">_xlfn.IFS(E194&gt;=0.99,$S$3, E194&gt;=0.95,$S$4, E194&gt;= 0.93, $S$5, E194&gt;= 0.9,$S$6, E194&gt;= 0.85,$S$7, E194&gt;= 0.8,$S$8, E194&gt;= 0.75,$S$9, E194 &gt;= 0.7, $S$10, E194&gt;= 0.65, $S$11, E194&gt;= 0.6, $S$12, E194&gt;= 0.55,$S$13, E194 &gt;= 0.5,$S$14)</f>
        <v>0.3</v>
      </c>
    </row>
    <row r="161" spans="1:15" ht="24" x14ac:dyDescent="0.25">
      <c r="A161" t="s">
        <v>208</v>
      </c>
      <c r="B161" t="s">
        <v>122</v>
      </c>
      <c r="C161">
        <v>-3.5</v>
      </c>
      <c r="D161" s="33" t="b">
        <v>1</v>
      </c>
      <c r="E161">
        <v>0.64</v>
      </c>
      <c r="F161">
        <v>102.9</v>
      </c>
      <c r="G161">
        <v>105.6</v>
      </c>
      <c r="H161">
        <v>63.1</v>
      </c>
      <c r="I161">
        <v>104.6</v>
      </c>
      <c r="J161">
        <v>109</v>
      </c>
      <c r="K161">
        <v>65.5</v>
      </c>
      <c r="L161">
        <v>1.55</v>
      </c>
      <c r="M161" t="s">
        <v>18</v>
      </c>
      <c r="N161" s="22">
        <v>45715</v>
      </c>
      <c r="O161" s="8" cm="1">
        <f t="array" ref="O161">_xlfn.IFS(E195&gt;=0.99,$S$3, E195&gt;=0.95,$S$4, E195&gt;= 0.93, $S$5, E195&gt;= 0.9,$S$6, E195&gt;= 0.85,$S$7, E195&gt;= 0.8,$S$8, E195&gt;= 0.75,$S$9, E195 &gt;= 0.7, $S$10, E195&gt;= 0.65, $S$11, E195&gt;= 0.6, $S$12, E195&gt;= 0.55,$S$13, E195 &gt;= 0.5,$S$14)</f>
        <v>0.47619047619047616</v>
      </c>
    </row>
    <row r="162" spans="1:15" ht="24" x14ac:dyDescent="0.25">
      <c r="A162" t="s">
        <v>234</v>
      </c>
      <c r="B162" t="s">
        <v>235</v>
      </c>
      <c r="C162">
        <v>-3.5</v>
      </c>
      <c r="D162" s="33" t="b">
        <v>1</v>
      </c>
      <c r="E162">
        <v>0.625</v>
      </c>
      <c r="F162">
        <v>100.7</v>
      </c>
      <c r="G162">
        <v>116.8</v>
      </c>
      <c r="H162">
        <v>69.099999999999994</v>
      </c>
      <c r="I162">
        <v>95.6</v>
      </c>
      <c r="J162">
        <v>111.9</v>
      </c>
      <c r="K162">
        <v>66.8</v>
      </c>
      <c r="L162">
        <v>0.16000000000000009</v>
      </c>
      <c r="M162" t="s">
        <v>15</v>
      </c>
      <c r="N162" s="22">
        <v>45715</v>
      </c>
      <c r="O162" s="8" cm="1">
        <f t="array" ref="O162">_xlfn.IFS(E196&gt;=0.99,$S$3, E196&gt;=0.95,$S$4, E196&gt;= 0.93, $S$5, E196&gt;= 0.9,$S$6, E196&gt;= 0.85,$S$7, E196&gt;= 0.8,$S$8, E196&gt;= 0.75,$S$9, E196 &gt;= 0.7, $S$10, E196&gt;= 0.65, $S$11, E196&gt;= 0.6, $S$12, E196&gt;= 0.55,$S$13, E196 &gt;= 0.5,$S$14)</f>
        <v>0.47619047619047616</v>
      </c>
    </row>
    <row r="163" spans="1:15" ht="24" x14ac:dyDescent="0.25">
      <c r="A163" t="s">
        <v>29</v>
      </c>
      <c r="B163" t="s">
        <v>102</v>
      </c>
      <c r="C163">
        <v>-3</v>
      </c>
      <c r="D163" s="33" t="b">
        <v>0</v>
      </c>
      <c r="E163">
        <v>0.59</v>
      </c>
      <c r="F163">
        <v>106</v>
      </c>
      <c r="G163">
        <v>115.2</v>
      </c>
      <c r="H163">
        <v>68.7</v>
      </c>
      <c r="I163">
        <v>106</v>
      </c>
      <c r="J163">
        <v>111.3</v>
      </c>
      <c r="K163">
        <v>69.599999999999994</v>
      </c>
      <c r="L163">
        <v>-3.9099999999999988</v>
      </c>
      <c r="M163" t="s">
        <v>15</v>
      </c>
      <c r="N163" s="22">
        <v>45715</v>
      </c>
      <c r="O163" s="8" cm="1">
        <f t="array" ref="O163">_xlfn.IFS(E197&gt;=0.99,$S$3, E197&gt;=0.95,$S$4, E197&gt;= 0.93, $S$5, E197&gt;= 0.9,$S$6, E197&gt;= 0.85,$S$7, E197&gt;= 0.8,$S$8, E197&gt;= 0.75,$S$9, E197 &gt;= 0.7, $S$10, E197&gt;= 0.65, $S$11, E197&gt;= 0.6, $S$12, E197&gt;= 0.55,$S$13, E197 &gt;= 0.5,$S$14)</f>
        <v>0.47619047619047616</v>
      </c>
    </row>
    <row r="164" spans="1:15" ht="24" x14ac:dyDescent="0.25">
      <c r="A164" t="s">
        <v>236</v>
      </c>
      <c r="B164" t="s">
        <v>47</v>
      </c>
      <c r="C164">
        <v>-2</v>
      </c>
      <c r="D164" s="33" t="b">
        <v>1</v>
      </c>
      <c r="E164">
        <v>0.54500000000000004</v>
      </c>
      <c r="F164">
        <v>103.7</v>
      </c>
      <c r="G164">
        <v>113.1</v>
      </c>
      <c r="H164">
        <v>67.599999999999994</v>
      </c>
      <c r="I164">
        <v>107.8</v>
      </c>
      <c r="J164">
        <v>108.5</v>
      </c>
      <c r="K164">
        <v>65.2</v>
      </c>
      <c r="L164">
        <v>-8.6100000000000012</v>
      </c>
      <c r="M164" t="s">
        <v>15</v>
      </c>
      <c r="N164" s="22">
        <v>45715</v>
      </c>
      <c r="O164" s="8" cm="1">
        <f t="array" ref="O164">_xlfn.IFS(E198&gt;=0.99,$S$3, E198&gt;=0.95,$S$4, E198&gt;= 0.93, $S$5, E198&gt;= 0.9,$S$6, E198&gt;= 0.85,$S$7, E198&gt;= 0.8,$S$8, E198&gt;= 0.75,$S$9, E198 &gt;= 0.7, $S$10, E198&gt;= 0.65, $S$11, E198&gt;= 0.6, $S$12, E198&gt;= 0.55,$S$13, E198 &gt;= 0.5,$S$14)</f>
        <v>0.75</v>
      </c>
    </row>
    <row r="165" spans="1:15" ht="24" x14ac:dyDescent="0.25">
      <c r="A165" t="s">
        <v>237</v>
      </c>
      <c r="B165" t="s">
        <v>22</v>
      </c>
      <c r="C165">
        <v>-2</v>
      </c>
      <c r="D165" s="33" t="b">
        <v>1</v>
      </c>
      <c r="E165">
        <v>0.51</v>
      </c>
      <c r="F165">
        <v>107.7</v>
      </c>
      <c r="G165">
        <v>110</v>
      </c>
      <c r="H165">
        <v>69.2</v>
      </c>
      <c r="I165">
        <v>107.9</v>
      </c>
      <c r="J165">
        <v>110.6</v>
      </c>
      <c r="K165">
        <v>72.900000000000006</v>
      </c>
      <c r="L165">
        <v>0.41000000000000009</v>
      </c>
      <c r="M165" t="s">
        <v>18</v>
      </c>
      <c r="N165" s="22">
        <v>45715</v>
      </c>
      <c r="O165" s="8" cm="1">
        <f t="array" ref="O165">_xlfn.IFS(E199&gt;=0.99,$S$3, E199&gt;=0.95,$S$4, E199&gt;= 0.93, $S$5, E199&gt;= 0.9,$S$6, E199&gt;= 0.85,$S$7, E199&gt;= 0.8,$S$8, E199&gt;= 0.75,$S$9, E199 &gt;= 0.7, $S$10, E199&gt;= 0.65, $S$11, E199&gt;= 0.6, $S$12, E199&gt;= 0.55,$S$13, E199 &gt;= 0.5,$S$14)</f>
        <v>0.56666666666666665</v>
      </c>
    </row>
    <row r="166" spans="1:15" ht="24" x14ac:dyDescent="0.25">
      <c r="A166" t="s">
        <v>217</v>
      </c>
      <c r="B166" t="s">
        <v>218</v>
      </c>
      <c r="C166">
        <v>-14.5</v>
      </c>
      <c r="D166" s="33" t="b">
        <v>1</v>
      </c>
      <c r="E166">
        <v>1</v>
      </c>
      <c r="F166">
        <v>120.8</v>
      </c>
      <c r="G166">
        <v>96.8</v>
      </c>
      <c r="H166">
        <v>63.7</v>
      </c>
      <c r="I166">
        <v>114</v>
      </c>
      <c r="J166">
        <v>106.7</v>
      </c>
      <c r="K166">
        <v>64.900000000000006</v>
      </c>
      <c r="L166">
        <v>16.71</v>
      </c>
      <c r="M166" t="s">
        <v>15</v>
      </c>
      <c r="N166" s="22">
        <v>45714</v>
      </c>
      <c r="O166" s="8" cm="1">
        <f t="array" ref="O166">_xlfn.IFS(E200&gt;=0.99,$S$3, E200&gt;=0.95,$S$4, E200&gt;= 0.93, $S$5, E200&gt;= 0.9,$S$6, E200&gt;= 0.85,$S$7, E200&gt;= 0.8,$S$8, E200&gt;= 0.75,$S$9, E200 &gt;= 0.7, $S$10, E200&gt;= 0.65, $S$11, E200&gt;= 0.6, $S$12, E200&gt;= 0.55,$S$13, E200 &gt;= 0.5,$S$14)</f>
        <v>0.5</v>
      </c>
    </row>
    <row r="167" spans="1:15" ht="24" x14ac:dyDescent="0.25">
      <c r="A167" t="s">
        <v>157</v>
      </c>
      <c r="B167" t="s">
        <v>219</v>
      </c>
      <c r="C167">
        <v>-12.5</v>
      </c>
      <c r="D167" s="33" t="b">
        <v>1</v>
      </c>
      <c r="E167">
        <v>0.995</v>
      </c>
      <c r="F167">
        <v>106.2</v>
      </c>
      <c r="G167">
        <v>94.8</v>
      </c>
      <c r="H167">
        <v>64.2</v>
      </c>
      <c r="I167">
        <v>106.3</v>
      </c>
      <c r="J167">
        <v>111.2</v>
      </c>
      <c r="K167">
        <v>69.900000000000006</v>
      </c>
      <c r="L167">
        <v>16.28</v>
      </c>
      <c r="M167" t="s">
        <v>18</v>
      </c>
      <c r="N167" s="22">
        <v>45714</v>
      </c>
      <c r="O167" s="8" cm="1">
        <f t="array" ref="O167">_xlfn.IFS(E201&gt;=0.99,$S$3, E201&gt;=0.95,$S$4, E201&gt;= 0.93, $S$5, E201&gt;= 0.9,$S$6, E201&gt;= 0.85,$S$7, E201&gt;= 0.8,$S$8, E201&gt;= 0.75,$S$9, E201 &gt;= 0.7, $S$10, E201&gt;= 0.65, $S$11, E201&gt;= 0.6, $S$12, E201&gt;= 0.55,$S$13, E201 &gt;= 0.5,$S$14)</f>
        <v>0.5</v>
      </c>
    </row>
    <row r="168" spans="1:15" ht="24" x14ac:dyDescent="0.25">
      <c r="A168" t="s">
        <v>220</v>
      </c>
      <c r="B168" t="s">
        <v>128</v>
      </c>
      <c r="C168">
        <v>-16.5</v>
      </c>
      <c r="D168" s="33" t="b">
        <v>1</v>
      </c>
      <c r="E168">
        <v>0.995</v>
      </c>
      <c r="F168">
        <v>116.8</v>
      </c>
      <c r="G168">
        <v>97.2</v>
      </c>
      <c r="H168">
        <v>68.3</v>
      </c>
      <c r="I168">
        <v>108.6</v>
      </c>
      <c r="J168">
        <v>106.4</v>
      </c>
      <c r="K168">
        <v>67.400000000000006</v>
      </c>
      <c r="L168">
        <v>17.39</v>
      </c>
      <c r="M168" t="s">
        <v>18</v>
      </c>
      <c r="N168" s="22">
        <v>45714</v>
      </c>
      <c r="O168" s="8" cm="1">
        <f t="array" ref="O168">_xlfn.IFS(E202&gt;=0.99,$S$3, E202&gt;=0.95,$S$4, E202&gt;= 0.93, $S$5, E202&gt;= 0.9,$S$6, E202&gt;= 0.85,$S$7, E202&gt;= 0.8,$S$8, E202&gt;= 0.75,$S$9, E202 &gt;= 0.7, $S$10, E202&gt;= 0.65, $S$11, E202&gt;= 0.6, $S$12, E202&gt;= 0.55,$S$13, E202 &gt;= 0.5,$S$14)</f>
        <v>0.6875</v>
      </c>
    </row>
    <row r="169" spans="1:15" ht="24" x14ac:dyDescent="0.25">
      <c r="A169" t="s">
        <v>203</v>
      </c>
      <c r="B169" t="s">
        <v>16</v>
      </c>
      <c r="C169">
        <v>-15.5</v>
      </c>
      <c r="D169" s="33" t="b">
        <v>1</v>
      </c>
      <c r="E169">
        <v>0.99</v>
      </c>
      <c r="F169">
        <v>120.7</v>
      </c>
      <c r="G169">
        <v>95</v>
      </c>
      <c r="H169">
        <v>70.400000000000006</v>
      </c>
      <c r="I169">
        <v>112.3</v>
      </c>
      <c r="J169">
        <v>101.8</v>
      </c>
      <c r="K169">
        <v>68.8</v>
      </c>
      <c r="L169">
        <v>15.15</v>
      </c>
      <c r="M169" t="s">
        <v>15</v>
      </c>
      <c r="N169" s="22">
        <v>45714</v>
      </c>
      <c r="O169" s="8" cm="1">
        <f t="array" ref="O169">_xlfn.IFS(E203&gt;=0.99,$S$3, E203&gt;=0.95,$S$4, E203&gt;= 0.93, $S$5, E203&gt;= 0.9,$S$6, E203&gt;= 0.85,$S$7, E203&gt;= 0.8,$S$8, E203&gt;= 0.75,$S$9, E203 &gt;= 0.7, $S$10, E203&gt;= 0.65, $S$11, E203&gt;= 0.6, $S$12, E203&gt;= 0.55,$S$13, E203 &gt;= 0.5,$S$14)</f>
        <v>0.3</v>
      </c>
    </row>
    <row r="170" spans="1:15" ht="24" x14ac:dyDescent="0.25">
      <c r="A170" t="s">
        <v>221</v>
      </c>
      <c r="B170" t="s">
        <v>124</v>
      </c>
      <c r="C170">
        <v>-7.5</v>
      </c>
      <c r="D170" s="33" t="b">
        <v>1</v>
      </c>
      <c r="E170">
        <v>0.99</v>
      </c>
      <c r="F170">
        <v>109.7</v>
      </c>
      <c r="G170">
        <v>97.5</v>
      </c>
      <c r="H170">
        <v>66.8</v>
      </c>
      <c r="I170">
        <v>111.3</v>
      </c>
      <c r="J170">
        <v>105.6</v>
      </c>
      <c r="K170">
        <v>60.9</v>
      </c>
      <c r="L170">
        <v>6.5799999999999992</v>
      </c>
      <c r="M170" t="s">
        <v>18</v>
      </c>
      <c r="N170" s="22">
        <v>45714</v>
      </c>
      <c r="O170" s="8" cm="1">
        <f t="array" ref="O170">_xlfn.IFS(E204&gt;=0.99,$S$3, E204&gt;=0.95,$S$4, E204&gt;= 0.93, $S$5, E204&gt;= 0.9,$S$6, E204&gt;= 0.85,$S$7, E204&gt;= 0.8,$S$8, E204&gt;= 0.75,$S$9, E204 &gt;= 0.7, $S$10, E204&gt;= 0.65, $S$11, E204&gt;= 0.6, $S$12, E204&gt;= 0.55,$S$13, E204 &gt;= 0.5,$S$14)</f>
        <v>0.47222222222222221</v>
      </c>
    </row>
    <row r="171" spans="1:15" ht="24" x14ac:dyDescent="0.25">
      <c r="A171" t="s">
        <v>63</v>
      </c>
      <c r="B171" t="s">
        <v>222</v>
      </c>
      <c r="C171">
        <v>-13.5</v>
      </c>
      <c r="D171" s="33" t="b">
        <v>1</v>
      </c>
      <c r="E171">
        <v>0.98499999999999999</v>
      </c>
      <c r="F171">
        <v>114.9</v>
      </c>
      <c r="G171">
        <v>98.4</v>
      </c>
      <c r="H171">
        <v>70.5</v>
      </c>
      <c r="I171">
        <v>109.2</v>
      </c>
      <c r="J171">
        <v>109.6</v>
      </c>
      <c r="K171">
        <v>65.5</v>
      </c>
      <c r="L171">
        <v>16.91</v>
      </c>
      <c r="M171" t="s">
        <v>18</v>
      </c>
      <c r="N171" s="22">
        <v>45714</v>
      </c>
      <c r="O171" s="8" cm="1">
        <f t="array" ref="O171">_xlfn.IFS(E205&gt;=0.99,$S$3, E205&gt;=0.95,$S$4, E205&gt;= 0.93, $S$5, E205&gt;= 0.9,$S$6, E205&gt;= 0.85,$S$7, E205&gt;= 0.8,$S$8, E205&gt;= 0.75,$S$9, E205 &gt;= 0.7, $S$10, E205&gt;= 0.65, $S$11, E205&gt;= 0.6, $S$12, E205&gt;= 0.55,$S$13, E205 &gt;= 0.5,$S$14)</f>
        <v>0.45</v>
      </c>
    </row>
    <row r="172" spans="1:15" ht="24" x14ac:dyDescent="0.25">
      <c r="A172" t="s">
        <v>223</v>
      </c>
      <c r="B172" t="s">
        <v>73</v>
      </c>
      <c r="C172">
        <v>-10.5</v>
      </c>
      <c r="D172" s="33" t="b">
        <v>1</v>
      </c>
      <c r="E172">
        <v>0.98499999999999999</v>
      </c>
      <c r="F172">
        <v>112.7</v>
      </c>
      <c r="G172">
        <v>104.3</v>
      </c>
      <c r="H172">
        <v>67.2</v>
      </c>
      <c r="I172">
        <v>105.9</v>
      </c>
      <c r="J172">
        <v>107</v>
      </c>
      <c r="K172">
        <v>66.400000000000006</v>
      </c>
      <c r="L172">
        <v>9.42</v>
      </c>
      <c r="M172" t="s">
        <v>15</v>
      </c>
      <c r="N172" s="22">
        <v>45714</v>
      </c>
      <c r="O172" s="8" cm="1">
        <f t="array" ref="O172">_xlfn.IFS(E206&gt;=0.99,$S$3, E206&gt;=0.95,$S$4, E206&gt;= 0.93, $S$5, E206&gt;= 0.9,$S$6, E206&gt;= 0.85,$S$7, E206&gt;= 0.8,$S$8, E206&gt;= 0.75,$S$9, E206 &gt;= 0.7, $S$10, E206&gt;= 0.65, $S$11, E206&gt;= 0.6, $S$12, E206&gt;= 0.55,$S$13, E206 &gt;= 0.5,$S$14)</f>
        <v>0.72727272727272729</v>
      </c>
    </row>
    <row r="173" spans="1:15" ht="24" x14ac:dyDescent="0.25">
      <c r="A173" t="s">
        <v>76</v>
      </c>
      <c r="B173" t="s">
        <v>51</v>
      </c>
      <c r="C173">
        <v>-7.5</v>
      </c>
      <c r="D173" s="33" t="b">
        <v>1</v>
      </c>
      <c r="E173">
        <v>0.97</v>
      </c>
      <c r="F173">
        <v>116.4</v>
      </c>
      <c r="G173">
        <v>92.4</v>
      </c>
      <c r="H173">
        <v>66.400000000000006</v>
      </c>
      <c r="I173">
        <v>118.7</v>
      </c>
      <c r="J173">
        <v>102</v>
      </c>
      <c r="K173">
        <v>69.3</v>
      </c>
      <c r="L173">
        <v>7.25</v>
      </c>
      <c r="M173" t="s">
        <v>18</v>
      </c>
      <c r="N173" s="22">
        <v>45714</v>
      </c>
      <c r="O173" s="8" cm="1">
        <f t="array" ref="O173">_xlfn.IFS(E207&gt;=0.99,$S$3, E207&gt;=0.95,$S$4, E207&gt;= 0.93, $S$5, E207&gt;= 0.9,$S$6, E207&gt;= 0.85,$S$7, E207&gt;= 0.8,$S$8, E207&gt;= 0.75,$S$9, E207 &gt;= 0.7, $S$10, E207&gt;= 0.65, $S$11, E207&gt;= 0.6, $S$12, E207&gt;= 0.55,$S$13, E207 &gt;= 0.5,$S$14)</f>
        <v>0.33333333333333331</v>
      </c>
    </row>
    <row r="174" spans="1:15" ht="24" x14ac:dyDescent="0.25">
      <c r="A174" t="s">
        <v>20</v>
      </c>
      <c r="B174" t="s">
        <v>224</v>
      </c>
      <c r="C174">
        <v>-14</v>
      </c>
      <c r="D174" s="33" t="b">
        <v>1</v>
      </c>
      <c r="E174">
        <v>0.97</v>
      </c>
      <c r="F174">
        <v>102</v>
      </c>
      <c r="G174">
        <v>103.1</v>
      </c>
      <c r="H174">
        <v>67.900000000000006</v>
      </c>
      <c r="I174">
        <v>100.2</v>
      </c>
      <c r="J174">
        <v>119.5</v>
      </c>
      <c r="K174">
        <v>67.400000000000006</v>
      </c>
      <c r="L174">
        <v>18.25</v>
      </c>
      <c r="M174" t="s">
        <v>18</v>
      </c>
      <c r="N174" s="22">
        <v>45714</v>
      </c>
      <c r="O174" s="8">
        <v>0.12</v>
      </c>
    </row>
    <row r="175" spans="1:15" ht="24" x14ac:dyDescent="0.25">
      <c r="A175" t="s">
        <v>200</v>
      </c>
      <c r="B175" t="s">
        <v>160</v>
      </c>
      <c r="C175">
        <v>-13</v>
      </c>
      <c r="D175" s="33" t="b">
        <v>1</v>
      </c>
      <c r="E175">
        <v>0.95499999999999996</v>
      </c>
      <c r="F175">
        <v>129.69999999999999</v>
      </c>
      <c r="G175">
        <v>93.7</v>
      </c>
      <c r="H175">
        <v>68.400000000000006</v>
      </c>
      <c r="I175">
        <v>117.7</v>
      </c>
      <c r="J175">
        <v>95</v>
      </c>
      <c r="K175">
        <v>68.2</v>
      </c>
      <c r="L175">
        <v>13.28</v>
      </c>
      <c r="M175" t="s">
        <v>15</v>
      </c>
      <c r="N175" s="22">
        <v>45714</v>
      </c>
      <c r="O175" s="8">
        <v>0.12</v>
      </c>
    </row>
    <row r="176" spans="1:15" ht="24" x14ac:dyDescent="0.25">
      <c r="A176" t="s">
        <v>225</v>
      </c>
      <c r="B176" t="s">
        <v>158</v>
      </c>
      <c r="C176">
        <v>-16</v>
      </c>
      <c r="D176" s="33" t="b">
        <v>1</v>
      </c>
      <c r="E176">
        <v>0.92500000000000004</v>
      </c>
      <c r="F176">
        <v>108.4</v>
      </c>
      <c r="G176">
        <v>108.1</v>
      </c>
      <c r="H176">
        <v>65.7</v>
      </c>
      <c r="I176">
        <v>96.8</v>
      </c>
      <c r="J176">
        <v>116.9</v>
      </c>
      <c r="K176">
        <v>64.400000000000006</v>
      </c>
      <c r="L176">
        <v>20.46</v>
      </c>
      <c r="M176" t="s">
        <v>15</v>
      </c>
      <c r="N176" s="22">
        <v>45714</v>
      </c>
      <c r="O176" s="8">
        <v>0.12</v>
      </c>
    </row>
    <row r="177" spans="1:15" ht="24" x14ac:dyDescent="0.25">
      <c r="A177" t="s">
        <v>65</v>
      </c>
      <c r="B177" t="s">
        <v>107</v>
      </c>
      <c r="C177">
        <v>-10</v>
      </c>
      <c r="D177" s="33" t="b">
        <v>1</v>
      </c>
      <c r="E177">
        <v>0.9</v>
      </c>
      <c r="F177">
        <v>106.6</v>
      </c>
      <c r="G177">
        <v>114.7</v>
      </c>
      <c r="H177">
        <v>67.099999999999994</v>
      </c>
      <c r="I177">
        <v>102.2</v>
      </c>
      <c r="J177">
        <v>115.7</v>
      </c>
      <c r="K177">
        <v>65.900000000000006</v>
      </c>
      <c r="L177">
        <v>5.33</v>
      </c>
      <c r="M177" t="s">
        <v>18</v>
      </c>
      <c r="N177" s="22">
        <v>45714</v>
      </c>
      <c r="O177" s="8">
        <v>0.12</v>
      </c>
    </row>
    <row r="178" spans="1:15" ht="24" x14ac:dyDescent="0.25">
      <c r="A178" t="s">
        <v>97</v>
      </c>
      <c r="B178" t="s">
        <v>64</v>
      </c>
      <c r="C178">
        <v>-8.5</v>
      </c>
      <c r="D178" s="33" t="b">
        <v>1</v>
      </c>
      <c r="E178">
        <v>0.88500000000000001</v>
      </c>
      <c r="F178">
        <v>107.9</v>
      </c>
      <c r="G178">
        <v>107.4</v>
      </c>
      <c r="H178">
        <v>66.8</v>
      </c>
      <c r="I178">
        <v>105.1</v>
      </c>
      <c r="J178">
        <v>113.2</v>
      </c>
      <c r="K178">
        <v>64.8</v>
      </c>
      <c r="L178">
        <v>8.56</v>
      </c>
      <c r="M178" t="s">
        <v>15</v>
      </c>
      <c r="N178" s="22">
        <v>45714</v>
      </c>
      <c r="O178" s="8">
        <v>0.12</v>
      </c>
    </row>
    <row r="179" spans="1:15" ht="24" x14ac:dyDescent="0.25">
      <c r="A179" t="s">
        <v>87</v>
      </c>
      <c r="B179" t="s">
        <v>72</v>
      </c>
      <c r="C179">
        <v>-3.5</v>
      </c>
      <c r="D179" s="33" t="b">
        <v>1</v>
      </c>
      <c r="E179">
        <v>0.77</v>
      </c>
      <c r="F179">
        <v>103.3</v>
      </c>
      <c r="G179">
        <v>110.3</v>
      </c>
      <c r="H179">
        <v>63.6</v>
      </c>
      <c r="I179">
        <v>102</v>
      </c>
      <c r="J179">
        <v>112.1</v>
      </c>
      <c r="K179">
        <v>67</v>
      </c>
      <c r="L179">
        <v>3.1300000000000008</v>
      </c>
      <c r="M179" t="s">
        <v>18</v>
      </c>
      <c r="N179" s="22">
        <v>45714</v>
      </c>
      <c r="O179" s="8">
        <v>0.36</v>
      </c>
    </row>
    <row r="180" spans="1:15" ht="24" x14ac:dyDescent="0.25">
      <c r="A180" t="s">
        <v>85</v>
      </c>
      <c r="B180" t="s">
        <v>50</v>
      </c>
      <c r="C180">
        <v>-3.5</v>
      </c>
      <c r="D180" s="33" t="b">
        <v>1</v>
      </c>
      <c r="E180">
        <v>0.69499999999999995</v>
      </c>
      <c r="F180">
        <v>113</v>
      </c>
      <c r="G180">
        <v>95.1</v>
      </c>
      <c r="H180">
        <v>69.099999999999994</v>
      </c>
      <c r="I180">
        <v>117.4</v>
      </c>
      <c r="J180">
        <v>100.3</v>
      </c>
      <c r="K180">
        <v>67.3</v>
      </c>
      <c r="L180">
        <v>0.81000000000000227</v>
      </c>
      <c r="M180" t="s">
        <v>15</v>
      </c>
      <c r="N180" s="22">
        <v>45714</v>
      </c>
      <c r="O180" s="8">
        <v>0.36</v>
      </c>
    </row>
    <row r="181" spans="1:15" ht="24" x14ac:dyDescent="0.25">
      <c r="A181" t="s">
        <v>119</v>
      </c>
      <c r="B181" t="s">
        <v>66</v>
      </c>
      <c r="C181">
        <v>-15.5</v>
      </c>
      <c r="D181" s="33" t="b">
        <v>1</v>
      </c>
      <c r="E181">
        <v>1</v>
      </c>
      <c r="F181">
        <v>124.8</v>
      </c>
      <c r="G181">
        <v>98.2</v>
      </c>
      <c r="H181">
        <v>67.400000000000006</v>
      </c>
      <c r="I181">
        <v>110.8</v>
      </c>
      <c r="J181">
        <v>103.6</v>
      </c>
      <c r="K181">
        <v>68.2</v>
      </c>
      <c r="L181">
        <v>19.38</v>
      </c>
      <c r="M181" t="s">
        <v>15</v>
      </c>
      <c r="N181" s="22">
        <v>45713</v>
      </c>
      <c r="O181" s="8">
        <v>0.36</v>
      </c>
    </row>
    <row r="182" spans="1:15" ht="24" x14ac:dyDescent="0.25">
      <c r="A182" t="s">
        <v>210</v>
      </c>
      <c r="B182" t="s">
        <v>173</v>
      </c>
      <c r="C182">
        <v>-13.5</v>
      </c>
      <c r="D182" s="33" t="b">
        <v>1</v>
      </c>
      <c r="E182">
        <v>0.995</v>
      </c>
      <c r="F182">
        <v>125.1</v>
      </c>
      <c r="G182">
        <v>99.9</v>
      </c>
      <c r="H182">
        <v>68.3</v>
      </c>
      <c r="I182">
        <v>110.5</v>
      </c>
      <c r="J182">
        <v>99.5</v>
      </c>
      <c r="K182">
        <v>65.599999999999994</v>
      </c>
      <c r="L182">
        <v>14.23</v>
      </c>
      <c r="M182" t="s">
        <v>15</v>
      </c>
      <c r="N182" s="22">
        <v>45713</v>
      </c>
      <c r="O182" s="8">
        <v>0.36</v>
      </c>
    </row>
    <row r="183" spans="1:15" ht="24" x14ac:dyDescent="0.25">
      <c r="A183" t="s">
        <v>163</v>
      </c>
      <c r="B183" t="s">
        <v>104</v>
      </c>
      <c r="C183">
        <v>-12.5</v>
      </c>
      <c r="D183" s="33" t="b">
        <v>1</v>
      </c>
      <c r="E183">
        <v>0.99</v>
      </c>
      <c r="F183">
        <v>118.3</v>
      </c>
      <c r="G183">
        <v>96.9</v>
      </c>
      <c r="H183">
        <v>67.400000000000006</v>
      </c>
      <c r="I183">
        <v>114.4</v>
      </c>
      <c r="J183">
        <v>105.4</v>
      </c>
      <c r="K183">
        <v>66.5</v>
      </c>
      <c r="L183">
        <v>12.3</v>
      </c>
      <c r="M183" t="s">
        <v>15</v>
      </c>
      <c r="N183" s="22">
        <v>45713</v>
      </c>
      <c r="O183" s="8">
        <v>0.36</v>
      </c>
    </row>
    <row r="184" spans="1:15" ht="24" x14ac:dyDescent="0.25">
      <c r="A184" t="s">
        <v>211</v>
      </c>
      <c r="B184" t="s">
        <v>123</v>
      </c>
      <c r="C184">
        <v>-8.5</v>
      </c>
      <c r="D184" s="33" t="b">
        <v>1</v>
      </c>
      <c r="E184">
        <v>0.98499999999999999</v>
      </c>
      <c r="F184">
        <v>118.3</v>
      </c>
      <c r="G184">
        <v>103.2</v>
      </c>
      <c r="H184">
        <v>66.3</v>
      </c>
      <c r="I184">
        <v>107.4</v>
      </c>
      <c r="J184">
        <v>102.8</v>
      </c>
      <c r="K184">
        <v>68.8</v>
      </c>
      <c r="L184">
        <v>10.47</v>
      </c>
      <c r="M184" t="s">
        <v>18</v>
      </c>
      <c r="N184" s="22">
        <v>45713</v>
      </c>
      <c r="O184" s="8">
        <v>0.36</v>
      </c>
    </row>
    <row r="185" spans="1:15" ht="24" x14ac:dyDescent="0.25">
      <c r="A185" t="s">
        <v>212</v>
      </c>
      <c r="B185" t="s">
        <v>213</v>
      </c>
      <c r="C185">
        <v>-10.5</v>
      </c>
      <c r="D185" s="33" t="b">
        <v>1</v>
      </c>
      <c r="E185">
        <v>0.97499999999999998</v>
      </c>
      <c r="F185">
        <v>106.4</v>
      </c>
      <c r="G185">
        <v>107.9</v>
      </c>
      <c r="H185">
        <v>69</v>
      </c>
      <c r="I185">
        <v>102</v>
      </c>
      <c r="J185">
        <v>114</v>
      </c>
      <c r="K185">
        <v>66.2</v>
      </c>
      <c r="L185">
        <v>10.42</v>
      </c>
      <c r="M185" t="s">
        <v>15</v>
      </c>
      <c r="N185" s="22">
        <v>45713</v>
      </c>
      <c r="O185" s="8">
        <v>0.75</v>
      </c>
    </row>
    <row r="186" spans="1:15" ht="24" x14ac:dyDescent="0.25">
      <c r="A186" t="s">
        <v>191</v>
      </c>
      <c r="B186" t="s">
        <v>134</v>
      </c>
      <c r="C186">
        <v>-10</v>
      </c>
      <c r="D186" s="33" t="b">
        <v>1</v>
      </c>
      <c r="E186">
        <v>0.97499999999999998</v>
      </c>
      <c r="F186">
        <v>120.8</v>
      </c>
      <c r="G186">
        <v>98.5</v>
      </c>
      <c r="H186">
        <v>72</v>
      </c>
      <c r="I186">
        <v>119.6</v>
      </c>
      <c r="J186">
        <v>107.6</v>
      </c>
      <c r="K186">
        <v>70.5</v>
      </c>
      <c r="L186">
        <v>10.32</v>
      </c>
      <c r="M186" t="s">
        <v>15</v>
      </c>
      <c r="N186" s="22">
        <v>45713</v>
      </c>
      <c r="O186" s="8">
        <v>0.75</v>
      </c>
    </row>
    <row r="187" spans="1:15" ht="24" x14ac:dyDescent="0.25">
      <c r="A187" t="s">
        <v>132</v>
      </c>
      <c r="B187" t="s">
        <v>121</v>
      </c>
      <c r="C187">
        <v>-12.5</v>
      </c>
      <c r="D187" s="33" t="b">
        <v>1</v>
      </c>
      <c r="E187">
        <v>0.97</v>
      </c>
      <c r="F187">
        <v>114.2</v>
      </c>
      <c r="G187">
        <v>103.3</v>
      </c>
      <c r="H187">
        <v>63.7</v>
      </c>
      <c r="I187">
        <v>104.3</v>
      </c>
      <c r="J187">
        <v>105.6</v>
      </c>
      <c r="K187">
        <v>64.900000000000006</v>
      </c>
      <c r="L187">
        <v>12.15</v>
      </c>
      <c r="M187" t="s">
        <v>15</v>
      </c>
      <c r="N187" s="22">
        <v>45713</v>
      </c>
      <c r="O187" s="8">
        <v>0.5</v>
      </c>
    </row>
    <row r="188" spans="1:15" ht="24" x14ac:dyDescent="0.25">
      <c r="A188" t="s">
        <v>214</v>
      </c>
      <c r="B188" t="s">
        <v>215</v>
      </c>
      <c r="C188">
        <v>-6.5</v>
      </c>
      <c r="D188" s="33" t="b">
        <v>1</v>
      </c>
      <c r="E188">
        <v>0.875</v>
      </c>
      <c r="F188">
        <v>110.6</v>
      </c>
      <c r="G188">
        <v>94.9</v>
      </c>
      <c r="H188">
        <v>64.3</v>
      </c>
      <c r="I188">
        <v>107.3</v>
      </c>
      <c r="J188">
        <v>97.5</v>
      </c>
      <c r="K188">
        <v>66.599999999999994</v>
      </c>
      <c r="L188">
        <v>5.8599999999999994</v>
      </c>
      <c r="M188" t="s">
        <v>15</v>
      </c>
      <c r="N188" s="22">
        <v>45713</v>
      </c>
      <c r="O188" s="8">
        <v>0.73</v>
      </c>
    </row>
    <row r="189" spans="1:15" ht="24" x14ac:dyDescent="0.25">
      <c r="A189" t="s">
        <v>86</v>
      </c>
      <c r="B189" t="s">
        <v>106</v>
      </c>
      <c r="C189">
        <v>-3</v>
      </c>
      <c r="D189" s="33" t="b">
        <v>1</v>
      </c>
      <c r="E189">
        <v>0.77</v>
      </c>
      <c r="F189">
        <v>98.9</v>
      </c>
      <c r="G189">
        <v>110</v>
      </c>
      <c r="H189">
        <v>66</v>
      </c>
      <c r="I189">
        <v>102.9</v>
      </c>
      <c r="J189">
        <v>114.5</v>
      </c>
      <c r="K189">
        <v>67.2</v>
      </c>
      <c r="L189">
        <v>0.5600000000000005</v>
      </c>
      <c r="M189" t="s">
        <v>15</v>
      </c>
      <c r="N189" s="22">
        <v>45713</v>
      </c>
      <c r="O189" s="8">
        <v>0.5</v>
      </c>
    </row>
    <row r="190" spans="1:15" ht="24" x14ac:dyDescent="0.25">
      <c r="A190" t="s">
        <v>176</v>
      </c>
      <c r="B190" t="s">
        <v>59</v>
      </c>
      <c r="C190">
        <v>-2.5</v>
      </c>
      <c r="D190" s="33" t="b">
        <v>1</v>
      </c>
      <c r="E190">
        <v>0.74</v>
      </c>
      <c r="F190">
        <v>111.3</v>
      </c>
      <c r="G190">
        <v>102.8</v>
      </c>
      <c r="H190">
        <v>62.2</v>
      </c>
      <c r="I190">
        <v>114.7</v>
      </c>
      <c r="J190">
        <v>99.5</v>
      </c>
      <c r="K190">
        <v>64.8</v>
      </c>
      <c r="L190">
        <v>-6.74</v>
      </c>
      <c r="M190" t="s">
        <v>18</v>
      </c>
      <c r="N190" s="22">
        <v>45713</v>
      </c>
      <c r="O190" s="8">
        <v>0.5</v>
      </c>
    </row>
    <row r="191" spans="1:15" ht="24" x14ac:dyDescent="0.25">
      <c r="A191" t="s">
        <v>196</v>
      </c>
      <c r="B191" t="s">
        <v>216</v>
      </c>
      <c r="C191">
        <v>-2</v>
      </c>
      <c r="D191" s="33" t="b">
        <v>1</v>
      </c>
      <c r="E191">
        <v>0.71499999999999997</v>
      </c>
      <c r="F191">
        <v>112.9</v>
      </c>
      <c r="G191">
        <v>109.7</v>
      </c>
      <c r="H191">
        <v>65.8</v>
      </c>
      <c r="I191">
        <v>109</v>
      </c>
      <c r="J191">
        <v>104.9</v>
      </c>
      <c r="K191">
        <v>67.7</v>
      </c>
      <c r="L191">
        <v>-0.85000000000000009</v>
      </c>
      <c r="M191" t="s">
        <v>18</v>
      </c>
      <c r="N191" s="22">
        <v>45713</v>
      </c>
      <c r="O191" s="8">
        <v>0.5</v>
      </c>
    </row>
    <row r="192" spans="1:15" ht="24" x14ac:dyDescent="0.25">
      <c r="A192" t="s">
        <v>17</v>
      </c>
      <c r="B192" t="s">
        <v>171</v>
      </c>
      <c r="C192">
        <v>-2.5</v>
      </c>
      <c r="D192" s="33" t="b">
        <v>1</v>
      </c>
      <c r="E192">
        <v>0.52</v>
      </c>
      <c r="F192">
        <v>112.2</v>
      </c>
      <c r="G192">
        <v>96.7</v>
      </c>
      <c r="H192">
        <v>65.400000000000006</v>
      </c>
      <c r="I192">
        <v>122.3</v>
      </c>
      <c r="J192">
        <v>101.6</v>
      </c>
      <c r="K192">
        <v>65.3</v>
      </c>
      <c r="L192">
        <v>-5.2099999999999991</v>
      </c>
      <c r="M192" t="s">
        <v>18</v>
      </c>
      <c r="N192" s="22">
        <v>45713</v>
      </c>
      <c r="O192" s="8">
        <v>0.5</v>
      </c>
    </row>
    <row r="193" spans="1:15" ht="24" x14ac:dyDescent="0.25">
      <c r="A193" t="s">
        <v>207</v>
      </c>
      <c r="B193" t="s">
        <v>208</v>
      </c>
      <c r="C193">
        <v>-8.5</v>
      </c>
      <c r="D193" s="33" t="b">
        <v>1</v>
      </c>
      <c r="E193">
        <v>0.95499999999999996</v>
      </c>
      <c r="F193">
        <v>104.4</v>
      </c>
      <c r="G193">
        <v>109.7</v>
      </c>
      <c r="H193">
        <v>65.599999999999994</v>
      </c>
      <c r="I193">
        <v>103</v>
      </c>
      <c r="J193">
        <v>118.7</v>
      </c>
      <c r="K193">
        <v>64.8</v>
      </c>
      <c r="L193">
        <v>10.39</v>
      </c>
      <c r="M193" t="s">
        <v>15</v>
      </c>
      <c r="N193" s="20">
        <v>45712</v>
      </c>
      <c r="O193" s="8">
        <v>0.41666666666666669</v>
      </c>
    </row>
    <row r="194" spans="1:15" ht="24" x14ac:dyDescent="0.25">
      <c r="A194" t="s">
        <v>186</v>
      </c>
      <c r="B194" t="s">
        <v>37</v>
      </c>
      <c r="C194">
        <v>1</v>
      </c>
      <c r="D194" s="33" t="b">
        <v>1</v>
      </c>
      <c r="E194">
        <v>0.87</v>
      </c>
      <c r="F194">
        <v>115.2</v>
      </c>
      <c r="G194">
        <v>98.9</v>
      </c>
      <c r="H194">
        <v>67.7</v>
      </c>
      <c r="I194">
        <v>119.3</v>
      </c>
      <c r="J194">
        <v>96.5</v>
      </c>
      <c r="K194">
        <v>70</v>
      </c>
      <c r="L194">
        <v>-6.3599999999999994</v>
      </c>
      <c r="M194" t="s">
        <v>18</v>
      </c>
      <c r="N194" s="20">
        <v>45712</v>
      </c>
      <c r="O194" s="8">
        <v>0.41666666666666669</v>
      </c>
    </row>
    <row r="195" spans="1:15" ht="24" x14ac:dyDescent="0.25">
      <c r="A195" t="s">
        <v>95</v>
      </c>
      <c r="B195" t="s">
        <v>20</v>
      </c>
      <c r="C195">
        <v>1.5</v>
      </c>
      <c r="D195" s="33" t="b">
        <v>0</v>
      </c>
      <c r="E195">
        <v>0.63500000000000001</v>
      </c>
      <c r="F195">
        <v>100.6</v>
      </c>
      <c r="G195">
        <v>119.9</v>
      </c>
      <c r="H195">
        <v>67.599999999999994</v>
      </c>
      <c r="I195">
        <v>105.4</v>
      </c>
      <c r="J195">
        <v>122.6</v>
      </c>
      <c r="K195">
        <v>66.5</v>
      </c>
      <c r="L195">
        <v>-2.109999999999999</v>
      </c>
      <c r="M195" t="s">
        <v>18</v>
      </c>
      <c r="N195" s="20">
        <v>45712</v>
      </c>
      <c r="O195" s="8">
        <v>0.125</v>
      </c>
    </row>
    <row r="196" spans="1:15" ht="24" x14ac:dyDescent="0.25">
      <c r="A196" t="s">
        <v>21</v>
      </c>
      <c r="B196" t="s">
        <v>46</v>
      </c>
      <c r="C196">
        <v>7</v>
      </c>
      <c r="D196" s="33" t="b">
        <v>0</v>
      </c>
      <c r="E196">
        <v>0.62</v>
      </c>
      <c r="F196">
        <v>101.2</v>
      </c>
      <c r="G196">
        <v>110.1</v>
      </c>
      <c r="H196">
        <v>66.400000000000006</v>
      </c>
      <c r="I196">
        <v>111.2</v>
      </c>
      <c r="J196">
        <v>102.3</v>
      </c>
      <c r="K196">
        <v>66.599999999999994</v>
      </c>
      <c r="L196">
        <v>-17.78</v>
      </c>
      <c r="M196" t="s">
        <v>15</v>
      </c>
      <c r="N196" s="20">
        <v>45712</v>
      </c>
      <c r="O196" s="8">
        <v>0.38461538461538464</v>
      </c>
    </row>
    <row r="197" spans="1:15" ht="24" x14ac:dyDescent="0.25">
      <c r="A197" t="s">
        <v>126</v>
      </c>
      <c r="B197" t="s">
        <v>81</v>
      </c>
      <c r="C197">
        <v>7</v>
      </c>
      <c r="D197" s="33" t="b">
        <v>0</v>
      </c>
      <c r="E197">
        <v>0.6</v>
      </c>
      <c r="F197">
        <v>108.6</v>
      </c>
      <c r="G197">
        <v>101.3</v>
      </c>
      <c r="H197">
        <v>67.5</v>
      </c>
      <c r="I197">
        <v>115.5</v>
      </c>
      <c r="J197">
        <v>91.9</v>
      </c>
      <c r="K197">
        <v>68.8</v>
      </c>
      <c r="L197">
        <v>-16.260000000000002</v>
      </c>
      <c r="M197" t="s">
        <v>52</v>
      </c>
      <c r="N197" s="20">
        <v>45712</v>
      </c>
      <c r="O197" s="8">
        <v>0.46153846153846156</v>
      </c>
    </row>
    <row r="198" spans="1:15" ht="24" x14ac:dyDescent="0.25">
      <c r="A198" t="s">
        <v>118</v>
      </c>
      <c r="B198" t="s">
        <v>117</v>
      </c>
      <c r="C198">
        <v>1.5</v>
      </c>
      <c r="D198" s="33" t="b">
        <v>1</v>
      </c>
      <c r="E198">
        <v>0.57499999999999996</v>
      </c>
      <c r="F198">
        <v>124.3</v>
      </c>
      <c r="G198">
        <v>96.9</v>
      </c>
      <c r="H198">
        <v>65.8</v>
      </c>
      <c r="I198">
        <v>124.9</v>
      </c>
      <c r="J198">
        <v>89.8</v>
      </c>
      <c r="K198">
        <v>60.9</v>
      </c>
      <c r="L198">
        <v>-7.6900000000000013</v>
      </c>
      <c r="M198" t="s">
        <v>18</v>
      </c>
      <c r="N198" s="20">
        <v>45712</v>
      </c>
      <c r="O198" s="8">
        <v>0.8</v>
      </c>
    </row>
    <row r="199" spans="1:15" ht="24" x14ac:dyDescent="0.25">
      <c r="A199" t="s">
        <v>182</v>
      </c>
      <c r="B199" t="s">
        <v>185</v>
      </c>
      <c r="C199">
        <v>-11.5</v>
      </c>
      <c r="D199" s="33" t="b">
        <v>1</v>
      </c>
      <c r="E199">
        <v>0.99</v>
      </c>
      <c r="F199">
        <v>104.1</v>
      </c>
      <c r="G199">
        <v>109.3</v>
      </c>
      <c r="H199">
        <v>66.5</v>
      </c>
      <c r="I199">
        <v>101.2</v>
      </c>
      <c r="J199">
        <v>123</v>
      </c>
      <c r="K199">
        <v>65.599999999999994</v>
      </c>
      <c r="L199">
        <v>16.57</v>
      </c>
      <c r="M199" t="s">
        <v>18</v>
      </c>
      <c r="N199" s="20">
        <v>45711</v>
      </c>
      <c r="O199" s="8">
        <v>0.75</v>
      </c>
    </row>
    <row r="200" spans="1:15" ht="24" x14ac:dyDescent="0.25">
      <c r="A200" t="s">
        <v>78</v>
      </c>
      <c r="B200" t="s">
        <v>128</v>
      </c>
      <c r="C200">
        <v>-13.5</v>
      </c>
      <c r="D200" s="33" t="b">
        <v>1</v>
      </c>
      <c r="E200">
        <v>0.98499999999999999</v>
      </c>
      <c r="F200">
        <v>116.7</v>
      </c>
      <c r="G200">
        <v>97.1</v>
      </c>
      <c r="H200">
        <v>68.3</v>
      </c>
      <c r="I200">
        <v>108.3</v>
      </c>
      <c r="J200">
        <v>97.9</v>
      </c>
      <c r="K200">
        <v>68.3</v>
      </c>
      <c r="L200">
        <v>9.2399999999999984</v>
      </c>
      <c r="M200" t="s">
        <v>18</v>
      </c>
      <c r="N200" s="20">
        <v>45711</v>
      </c>
      <c r="O200" s="8">
        <v>0.75</v>
      </c>
    </row>
    <row r="201" spans="1:15" ht="24" x14ac:dyDescent="0.25">
      <c r="A201" t="s">
        <v>184</v>
      </c>
      <c r="B201" t="s">
        <v>183</v>
      </c>
      <c r="C201">
        <v>-8</v>
      </c>
      <c r="D201" s="33" t="b">
        <v>1</v>
      </c>
      <c r="E201">
        <v>0.96</v>
      </c>
      <c r="F201">
        <v>101.7</v>
      </c>
      <c r="G201">
        <v>106.9</v>
      </c>
      <c r="H201">
        <v>64.2</v>
      </c>
      <c r="I201">
        <v>101.8</v>
      </c>
      <c r="J201">
        <v>116.1</v>
      </c>
      <c r="K201">
        <v>65</v>
      </c>
      <c r="L201">
        <v>9.11</v>
      </c>
      <c r="M201" t="s">
        <v>18</v>
      </c>
      <c r="N201" s="20">
        <v>45711</v>
      </c>
      <c r="O201" s="8">
        <v>0.45</v>
      </c>
    </row>
    <row r="202" spans="1:15" ht="24" x14ac:dyDescent="0.25">
      <c r="A202" t="s">
        <v>201</v>
      </c>
      <c r="B202" t="s">
        <v>202</v>
      </c>
      <c r="C202">
        <v>-9</v>
      </c>
      <c r="D202" s="33" t="b">
        <v>1</v>
      </c>
      <c r="E202">
        <v>0.90500000000000003</v>
      </c>
      <c r="F202">
        <v>117.9</v>
      </c>
      <c r="G202">
        <v>113.5</v>
      </c>
      <c r="H202">
        <v>69.3</v>
      </c>
      <c r="I202">
        <v>110.7</v>
      </c>
      <c r="J202">
        <v>110.6</v>
      </c>
      <c r="K202">
        <v>69.5</v>
      </c>
      <c r="L202">
        <v>4.3099999999999996</v>
      </c>
      <c r="M202" t="s">
        <v>15</v>
      </c>
      <c r="N202" s="20">
        <v>45711</v>
      </c>
      <c r="O202" s="8">
        <v>0.45</v>
      </c>
    </row>
    <row r="203" spans="1:15" ht="24" x14ac:dyDescent="0.25">
      <c r="A203" t="s">
        <v>65</v>
      </c>
      <c r="B203" t="s">
        <v>87</v>
      </c>
      <c r="C203">
        <v>-5.5</v>
      </c>
      <c r="D203" s="33" t="b">
        <v>1</v>
      </c>
      <c r="E203">
        <v>0.89500000000000002</v>
      </c>
      <c r="F203">
        <v>102.2</v>
      </c>
      <c r="G203">
        <v>112.4</v>
      </c>
      <c r="H203">
        <v>66.8</v>
      </c>
      <c r="I203">
        <v>102.4</v>
      </c>
      <c r="J203">
        <v>115.8</v>
      </c>
      <c r="K203">
        <v>65.7</v>
      </c>
      <c r="L203">
        <v>3.149999999999999</v>
      </c>
      <c r="M203" t="s">
        <v>15</v>
      </c>
      <c r="N203" s="20">
        <v>45711</v>
      </c>
      <c r="O203" s="8">
        <v>0.14000000000000001</v>
      </c>
    </row>
    <row r="204" spans="1:15" ht="24" x14ac:dyDescent="0.25">
      <c r="A204" t="s">
        <v>86</v>
      </c>
      <c r="B204" t="s">
        <v>14</v>
      </c>
      <c r="C204">
        <v>-6.5</v>
      </c>
      <c r="D204" s="33" t="b">
        <v>1</v>
      </c>
      <c r="E204">
        <v>0.84499999999999997</v>
      </c>
      <c r="F204">
        <v>101.8</v>
      </c>
      <c r="G204">
        <v>107.4</v>
      </c>
      <c r="H204">
        <v>67.8</v>
      </c>
      <c r="I204">
        <v>103.4</v>
      </c>
      <c r="J204">
        <v>113.7</v>
      </c>
      <c r="K204" t="s">
        <v>209</v>
      </c>
      <c r="L204">
        <v>4.7500000000000009</v>
      </c>
      <c r="M204" t="s">
        <v>15</v>
      </c>
      <c r="N204" s="20">
        <v>45711</v>
      </c>
      <c r="O204" s="8">
        <v>0.14000000000000001</v>
      </c>
    </row>
    <row r="205" spans="1:15" ht="24" x14ac:dyDescent="0.25">
      <c r="A205" t="s">
        <v>203</v>
      </c>
      <c r="B205" t="s">
        <v>204</v>
      </c>
      <c r="C205">
        <v>-3</v>
      </c>
      <c r="D205" s="33" t="b">
        <v>1</v>
      </c>
      <c r="E205">
        <v>0.7</v>
      </c>
      <c r="F205">
        <v>115.6</v>
      </c>
      <c r="G205">
        <v>105</v>
      </c>
      <c r="H205">
        <v>72.2</v>
      </c>
      <c r="I205">
        <v>112.6</v>
      </c>
      <c r="J205">
        <v>101.9</v>
      </c>
      <c r="K205">
        <v>69</v>
      </c>
      <c r="L205">
        <v>-0.15000000000000041</v>
      </c>
      <c r="M205" t="s">
        <v>15</v>
      </c>
      <c r="N205" s="20">
        <v>45711</v>
      </c>
      <c r="O205" s="8">
        <v>0.36</v>
      </c>
    </row>
    <row r="206" spans="1:15" ht="24" x14ac:dyDescent="0.25">
      <c r="A206" t="s">
        <v>205</v>
      </c>
      <c r="B206" t="s">
        <v>166</v>
      </c>
      <c r="C206">
        <v>-3.5</v>
      </c>
      <c r="D206" s="33" t="b">
        <v>1</v>
      </c>
      <c r="E206">
        <v>0.68500000000000005</v>
      </c>
      <c r="F206">
        <v>114.9</v>
      </c>
      <c r="G206">
        <v>104.2</v>
      </c>
      <c r="H206">
        <v>68.7</v>
      </c>
      <c r="I206">
        <v>116.1</v>
      </c>
      <c r="J206">
        <v>102.4</v>
      </c>
      <c r="K206">
        <v>68.5</v>
      </c>
      <c r="L206">
        <v>-2.9400000000000008</v>
      </c>
      <c r="M206" t="s">
        <v>15</v>
      </c>
      <c r="N206" s="20">
        <v>45711</v>
      </c>
      <c r="O206" s="8">
        <v>0.36</v>
      </c>
    </row>
    <row r="207" spans="1:15" ht="24" x14ac:dyDescent="0.25">
      <c r="A207" t="s">
        <v>206</v>
      </c>
      <c r="B207" t="s">
        <v>190</v>
      </c>
      <c r="C207">
        <v>-1</v>
      </c>
      <c r="D207" s="33" t="b">
        <v>1</v>
      </c>
      <c r="E207">
        <v>0.51500000000000001</v>
      </c>
      <c r="F207">
        <v>97.5</v>
      </c>
      <c r="G207">
        <v>106.8</v>
      </c>
      <c r="H207">
        <v>69.2</v>
      </c>
      <c r="I207">
        <v>99.2</v>
      </c>
      <c r="J207">
        <v>102.3</v>
      </c>
      <c r="K207">
        <v>65.099999999999994</v>
      </c>
      <c r="L207">
        <v>-6.2499999999999991</v>
      </c>
      <c r="M207" t="s">
        <v>18</v>
      </c>
      <c r="N207" s="20">
        <v>45711</v>
      </c>
      <c r="O207" s="8">
        <v>0.5</v>
      </c>
    </row>
    <row r="208" spans="1:15" ht="24" x14ac:dyDescent="0.25">
      <c r="A208" t="s">
        <v>110</v>
      </c>
      <c r="B208" t="s">
        <v>73</v>
      </c>
      <c r="C208">
        <v>-6.5</v>
      </c>
      <c r="D208" s="33" t="b">
        <v>1</v>
      </c>
      <c r="E208">
        <v>0.89500000000000002</v>
      </c>
      <c r="F208">
        <v>113.7</v>
      </c>
      <c r="G208">
        <v>67</v>
      </c>
      <c r="H208">
        <v>105.4</v>
      </c>
      <c r="I208">
        <v>113</v>
      </c>
      <c r="J208">
        <v>67.3</v>
      </c>
      <c r="K208">
        <v>109.3</v>
      </c>
      <c r="L208">
        <v>4.6800000000000006</v>
      </c>
      <c r="M208" t="s">
        <v>18</v>
      </c>
      <c r="N208" s="20">
        <v>45710</v>
      </c>
      <c r="O208" s="8">
        <v>0.78</v>
      </c>
    </row>
    <row r="209" spans="1:15" ht="24" x14ac:dyDescent="0.25">
      <c r="A209" t="s">
        <v>119</v>
      </c>
      <c r="B209" t="s">
        <v>191</v>
      </c>
      <c r="C209">
        <v>-6.5</v>
      </c>
      <c r="D209" s="33" t="b">
        <v>1</v>
      </c>
      <c r="E209">
        <v>0.88</v>
      </c>
      <c r="F209">
        <v>118.9</v>
      </c>
      <c r="G209">
        <v>70.8</v>
      </c>
      <c r="H209">
        <v>106.6</v>
      </c>
      <c r="I209">
        <v>110.2</v>
      </c>
      <c r="J209">
        <v>68.5</v>
      </c>
      <c r="K209">
        <v>102.8</v>
      </c>
      <c r="L209">
        <v>4.9300000000000006</v>
      </c>
      <c r="M209" t="s">
        <v>18</v>
      </c>
      <c r="N209" s="20">
        <v>45710</v>
      </c>
      <c r="O209" s="15">
        <v>0.875</v>
      </c>
    </row>
    <row r="210" spans="1:15" ht="24" x14ac:dyDescent="0.25">
      <c r="A210" t="s">
        <v>192</v>
      </c>
      <c r="B210" t="s">
        <v>66</v>
      </c>
      <c r="C210">
        <v>-8.5</v>
      </c>
      <c r="D210" s="33" t="b">
        <v>1</v>
      </c>
      <c r="E210">
        <v>0.875</v>
      </c>
      <c r="F210">
        <v>126.1</v>
      </c>
      <c r="G210">
        <v>67.5</v>
      </c>
      <c r="H210">
        <v>98.5</v>
      </c>
      <c r="I210">
        <v>118.1</v>
      </c>
      <c r="J210">
        <v>68</v>
      </c>
      <c r="K210">
        <v>99.9</v>
      </c>
      <c r="L210">
        <v>9.4599999999999973</v>
      </c>
      <c r="M210" t="s">
        <v>18</v>
      </c>
      <c r="N210" s="20">
        <v>45710</v>
      </c>
      <c r="O210" s="8">
        <v>0.875</v>
      </c>
    </row>
    <row r="211" spans="1:15" ht="24" x14ac:dyDescent="0.25">
      <c r="A211" t="s">
        <v>112</v>
      </c>
      <c r="B211" t="s">
        <v>160</v>
      </c>
      <c r="C211">
        <v>-16.5</v>
      </c>
      <c r="D211" s="33" t="b">
        <v>1</v>
      </c>
      <c r="E211">
        <v>0.86</v>
      </c>
      <c r="F211">
        <v>129.69999999999999</v>
      </c>
      <c r="G211">
        <v>68.400000000000006</v>
      </c>
      <c r="H211">
        <v>93.7</v>
      </c>
      <c r="I211">
        <v>114.2</v>
      </c>
      <c r="J211">
        <v>66.400000000000006</v>
      </c>
      <c r="K211">
        <v>97.9</v>
      </c>
      <c r="L211">
        <v>19.63</v>
      </c>
      <c r="M211" t="s">
        <v>18</v>
      </c>
      <c r="N211" s="20">
        <v>45710</v>
      </c>
      <c r="O211" s="8">
        <v>0.875</v>
      </c>
    </row>
    <row r="212" spans="1:15" ht="24" x14ac:dyDescent="0.25">
      <c r="A212" t="s">
        <v>88</v>
      </c>
      <c r="B212" t="s">
        <v>193</v>
      </c>
      <c r="C212">
        <v>-6.5</v>
      </c>
      <c r="D212" s="33" t="b">
        <v>1</v>
      </c>
      <c r="E212">
        <v>0.86</v>
      </c>
      <c r="F212">
        <v>110.5</v>
      </c>
      <c r="G212">
        <v>63.2</v>
      </c>
      <c r="H212">
        <v>109.9</v>
      </c>
      <c r="I212">
        <v>105.3</v>
      </c>
      <c r="J212">
        <v>64.3</v>
      </c>
      <c r="K212">
        <v>112.6</v>
      </c>
      <c r="L212">
        <v>7.8599999999999994</v>
      </c>
      <c r="M212" t="s">
        <v>18</v>
      </c>
      <c r="N212" s="20">
        <v>45710</v>
      </c>
      <c r="O212" s="8">
        <v>0.55555555555555558</v>
      </c>
    </row>
    <row r="213" spans="1:15" ht="24" x14ac:dyDescent="0.25">
      <c r="A213" t="s">
        <v>194</v>
      </c>
      <c r="B213" t="s">
        <v>16</v>
      </c>
      <c r="C213">
        <v>-7</v>
      </c>
      <c r="D213" s="33" t="b">
        <v>1</v>
      </c>
      <c r="E213">
        <v>0.84</v>
      </c>
      <c r="F213">
        <v>119.5</v>
      </c>
      <c r="G213">
        <v>70.5</v>
      </c>
      <c r="H213">
        <v>93.4</v>
      </c>
      <c r="I213">
        <v>121.7</v>
      </c>
      <c r="J213">
        <v>67.099999999999994</v>
      </c>
      <c r="K213">
        <v>100.7</v>
      </c>
      <c r="L213">
        <v>5.1400000000000006</v>
      </c>
      <c r="M213" t="s">
        <v>18</v>
      </c>
      <c r="N213" s="20">
        <v>45710</v>
      </c>
      <c r="O213" s="8">
        <v>0.55555555555555558</v>
      </c>
    </row>
    <row r="214" spans="1:15" ht="24" x14ac:dyDescent="0.25">
      <c r="A214" t="s">
        <v>84</v>
      </c>
      <c r="B214" t="s">
        <v>113</v>
      </c>
      <c r="C214">
        <v>-9.5</v>
      </c>
      <c r="D214" s="33" t="b">
        <v>1</v>
      </c>
      <c r="E214">
        <v>0.84</v>
      </c>
      <c r="F214">
        <v>127.3</v>
      </c>
      <c r="G214">
        <v>74.8</v>
      </c>
      <c r="H214">
        <v>99.5</v>
      </c>
      <c r="I214">
        <v>126.5</v>
      </c>
      <c r="J214">
        <v>70.599999999999994</v>
      </c>
      <c r="K214">
        <v>101.6</v>
      </c>
      <c r="L214">
        <v>2.93</v>
      </c>
      <c r="M214" t="s">
        <v>18</v>
      </c>
      <c r="N214" s="20">
        <v>45710</v>
      </c>
      <c r="O214" s="8">
        <v>0.5</v>
      </c>
    </row>
    <row r="215" spans="1:15" ht="24" x14ac:dyDescent="0.25">
      <c r="A215" t="s">
        <v>195</v>
      </c>
      <c r="B215" t="s">
        <v>158</v>
      </c>
      <c r="C215">
        <v>-12</v>
      </c>
      <c r="D215" s="33" t="b">
        <v>1</v>
      </c>
      <c r="E215">
        <v>0.83</v>
      </c>
      <c r="F215">
        <v>108.6</v>
      </c>
      <c r="G215">
        <v>65.599999999999994</v>
      </c>
      <c r="H215">
        <v>107.8</v>
      </c>
      <c r="I215">
        <v>100.4</v>
      </c>
      <c r="J215">
        <v>68.2</v>
      </c>
      <c r="K215">
        <v>111.3</v>
      </c>
      <c r="L215">
        <v>11.65</v>
      </c>
      <c r="M215" t="s">
        <v>18</v>
      </c>
      <c r="N215" s="20">
        <v>45710</v>
      </c>
      <c r="O215" s="8">
        <v>0.5</v>
      </c>
    </row>
    <row r="216" spans="1:15" ht="24" x14ac:dyDescent="0.25">
      <c r="A216" t="s">
        <v>111</v>
      </c>
      <c r="B216" t="s">
        <v>55</v>
      </c>
      <c r="C216">
        <v>-6.5</v>
      </c>
      <c r="D216" s="33" t="b">
        <v>1</v>
      </c>
      <c r="E216">
        <v>0.82499999999999996</v>
      </c>
      <c r="F216">
        <v>107.1</v>
      </c>
      <c r="G216">
        <v>66.900000000000006</v>
      </c>
      <c r="H216">
        <v>106.9</v>
      </c>
      <c r="I216">
        <v>102.3</v>
      </c>
      <c r="J216">
        <v>70.8</v>
      </c>
      <c r="K216">
        <v>106</v>
      </c>
      <c r="L216">
        <v>3.99</v>
      </c>
      <c r="M216" t="s">
        <v>18</v>
      </c>
      <c r="N216" s="20">
        <v>45710</v>
      </c>
      <c r="O216" s="8">
        <v>0.5</v>
      </c>
    </row>
    <row r="217" spans="1:15" ht="24" x14ac:dyDescent="0.25">
      <c r="A217" t="s">
        <v>89</v>
      </c>
      <c r="B217" t="s">
        <v>56</v>
      </c>
      <c r="C217">
        <v>-17.5</v>
      </c>
      <c r="D217" s="33" t="b">
        <v>1</v>
      </c>
      <c r="E217">
        <v>0.82</v>
      </c>
      <c r="F217">
        <v>116.8</v>
      </c>
      <c r="G217">
        <v>68.099999999999994</v>
      </c>
      <c r="H217">
        <v>104.3</v>
      </c>
      <c r="I217">
        <v>109.3</v>
      </c>
      <c r="J217">
        <v>70</v>
      </c>
      <c r="K217">
        <v>116.5</v>
      </c>
      <c r="L217">
        <v>19.73</v>
      </c>
      <c r="M217" t="s">
        <v>15</v>
      </c>
      <c r="N217" s="20">
        <v>45710</v>
      </c>
      <c r="O217" s="8">
        <v>0.6</v>
      </c>
    </row>
    <row r="218" spans="1:15" ht="24" x14ac:dyDescent="0.25">
      <c r="A218" t="s">
        <v>154</v>
      </c>
      <c r="B218" t="s">
        <v>63</v>
      </c>
      <c r="C218">
        <v>-6</v>
      </c>
      <c r="D218" s="33" t="b">
        <v>1</v>
      </c>
      <c r="E218">
        <v>0.81</v>
      </c>
      <c r="F218">
        <v>109</v>
      </c>
      <c r="G218">
        <v>65.599999999999994</v>
      </c>
      <c r="H218">
        <v>110.3</v>
      </c>
      <c r="I218">
        <v>101.3</v>
      </c>
      <c r="J218">
        <v>66.2</v>
      </c>
      <c r="K218">
        <v>110.5</v>
      </c>
      <c r="L218">
        <v>7.8900000000000006</v>
      </c>
      <c r="M218" t="s">
        <v>15</v>
      </c>
      <c r="N218" s="20">
        <v>45710</v>
      </c>
      <c r="O218" s="8">
        <v>0.15384615384615385</v>
      </c>
    </row>
    <row r="219" spans="1:15" ht="24" x14ac:dyDescent="0.25">
      <c r="A219" t="s">
        <v>62</v>
      </c>
      <c r="B219" t="s">
        <v>196</v>
      </c>
      <c r="C219">
        <v>-6</v>
      </c>
      <c r="D219" s="33" t="b">
        <v>1</v>
      </c>
      <c r="E219">
        <v>0.76</v>
      </c>
      <c r="F219">
        <v>109</v>
      </c>
      <c r="G219">
        <v>67.7</v>
      </c>
      <c r="H219">
        <v>105.5</v>
      </c>
      <c r="I219">
        <v>109.2</v>
      </c>
      <c r="J219">
        <v>70.400000000000006</v>
      </c>
      <c r="K219">
        <v>105.8</v>
      </c>
      <c r="L219">
        <v>0.12999999999999989</v>
      </c>
      <c r="M219" t="s">
        <v>15</v>
      </c>
      <c r="N219" s="20">
        <v>45710</v>
      </c>
      <c r="O219" s="8">
        <v>0.44444444444444442</v>
      </c>
    </row>
    <row r="220" spans="1:15" ht="24" x14ac:dyDescent="0.25">
      <c r="A220" t="s">
        <v>197</v>
      </c>
      <c r="B220" t="s">
        <v>198</v>
      </c>
      <c r="C220">
        <v>-6</v>
      </c>
      <c r="D220" s="33" t="b">
        <v>1</v>
      </c>
      <c r="E220">
        <v>0.75</v>
      </c>
      <c r="F220">
        <v>106</v>
      </c>
      <c r="G220">
        <v>68.3</v>
      </c>
      <c r="H220">
        <v>103.3</v>
      </c>
      <c r="I220">
        <v>106.9</v>
      </c>
      <c r="J220">
        <v>66.5</v>
      </c>
      <c r="K220">
        <v>106.2</v>
      </c>
      <c r="L220">
        <v>2.0099999999999998</v>
      </c>
      <c r="M220" t="s">
        <v>52</v>
      </c>
      <c r="N220" s="20">
        <v>45710</v>
      </c>
      <c r="O220" s="8">
        <v>0.44444444444444442</v>
      </c>
    </row>
    <row r="221" spans="1:15" ht="24" x14ac:dyDescent="0.25">
      <c r="A221" t="s">
        <v>199</v>
      </c>
      <c r="B221" t="s">
        <v>39</v>
      </c>
      <c r="C221">
        <v>-1</v>
      </c>
      <c r="D221" s="33" t="b">
        <v>0</v>
      </c>
      <c r="E221">
        <v>0.60499999999999998</v>
      </c>
      <c r="F221">
        <v>100.7</v>
      </c>
      <c r="G221">
        <v>68.7</v>
      </c>
      <c r="H221">
        <v>120.6</v>
      </c>
      <c r="I221">
        <v>94.5</v>
      </c>
      <c r="J221">
        <v>65.099999999999994</v>
      </c>
      <c r="K221">
        <v>106.5</v>
      </c>
      <c r="L221">
        <v>-7.8000000000000007</v>
      </c>
      <c r="M221" t="s">
        <v>15</v>
      </c>
      <c r="N221" s="20">
        <v>45710</v>
      </c>
      <c r="O221" s="8">
        <v>0.66666666666666663</v>
      </c>
    </row>
    <row r="222" spans="1:15" ht="24" x14ac:dyDescent="0.25">
      <c r="A222" t="s">
        <v>178</v>
      </c>
      <c r="B222" t="s">
        <v>32</v>
      </c>
      <c r="C222">
        <v>-1.5</v>
      </c>
      <c r="D222" s="33" t="b">
        <v>0</v>
      </c>
      <c r="E222">
        <v>0.57499999999999996</v>
      </c>
      <c r="F222">
        <v>109.6</v>
      </c>
      <c r="G222">
        <v>70.7</v>
      </c>
      <c r="H222">
        <v>116.9</v>
      </c>
      <c r="I222">
        <v>98.7</v>
      </c>
      <c r="J222">
        <v>64.099999999999994</v>
      </c>
      <c r="K222">
        <v>104.2</v>
      </c>
      <c r="L222">
        <v>-1.85</v>
      </c>
      <c r="M222" t="s">
        <v>15</v>
      </c>
      <c r="N222" s="20">
        <v>45710</v>
      </c>
      <c r="O222" s="8">
        <v>0.7142857142857143</v>
      </c>
    </row>
    <row r="223" spans="1:15" ht="24" x14ac:dyDescent="0.25">
      <c r="A223" t="s">
        <v>200</v>
      </c>
      <c r="B223" t="s">
        <v>76</v>
      </c>
      <c r="C223">
        <v>-1.5</v>
      </c>
      <c r="D223" s="33" t="b">
        <v>0</v>
      </c>
      <c r="E223">
        <v>0.53</v>
      </c>
      <c r="F223">
        <v>118.4</v>
      </c>
      <c r="G223">
        <v>69.5</v>
      </c>
      <c r="H223">
        <v>102.3</v>
      </c>
      <c r="I223">
        <v>118</v>
      </c>
      <c r="J223">
        <v>68.3</v>
      </c>
      <c r="K223">
        <v>94.9</v>
      </c>
      <c r="L223">
        <v>-6.9899999999999984</v>
      </c>
      <c r="M223" t="s">
        <v>18</v>
      </c>
      <c r="N223" s="20">
        <v>45710</v>
      </c>
      <c r="O223" s="8">
        <v>0.44444444444444442</v>
      </c>
    </row>
    <row r="224" spans="1:15" ht="24" x14ac:dyDescent="0.25">
      <c r="A224" t="s">
        <v>102</v>
      </c>
      <c r="B224" t="s">
        <v>91</v>
      </c>
      <c r="C224">
        <v>-3</v>
      </c>
      <c r="D224" s="33" t="b">
        <v>1</v>
      </c>
      <c r="E224">
        <v>0.52500000000000002</v>
      </c>
      <c r="F224">
        <v>102.9</v>
      </c>
      <c r="G224">
        <v>66.400000000000006</v>
      </c>
      <c r="H224">
        <v>111.7</v>
      </c>
      <c r="I224">
        <v>105.6</v>
      </c>
      <c r="J224">
        <v>68.8</v>
      </c>
      <c r="K224">
        <v>115.5</v>
      </c>
      <c r="L224">
        <v>1.07</v>
      </c>
      <c r="M224" t="s">
        <v>18</v>
      </c>
      <c r="N224" s="20">
        <v>45710</v>
      </c>
      <c r="O224" s="8">
        <v>0.44444444444444442</v>
      </c>
    </row>
    <row r="225" spans="1:15" ht="24" x14ac:dyDescent="0.25">
      <c r="A225" t="s">
        <v>13</v>
      </c>
      <c r="B225" t="s">
        <v>106</v>
      </c>
      <c r="C225">
        <v>-2</v>
      </c>
      <c r="D225" s="33" t="b">
        <v>0</v>
      </c>
      <c r="E225">
        <v>0.51500000000000001</v>
      </c>
      <c r="F225">
        <v>98</v>
      </c>
      <c r="G225">
        <v>66.099999999999994</v>
      </c>
      <c r="H225">
        <v>109.5</v>
      </c>
      <c r="I225">
        <v>100.6</v>
      </c>
      <c r="J225">
        <v>67.099999999999994</v>
      </c>
      <c r="K225">
        <v>110.4</v>
      </c>
      <c r="L225">
        <v>-1.66</v>
      </c>
      <c r="M225" t="s">
        <v>18</v>
      </c>
      <c r="N225" s="20">
        <v>45710</v>
      </c>
      <c r="O225" s="8">
        <v>0.44444444444444398</v>
      </c>
    </row>
    <row r="226" spans="1:15" ht="24" x14ac:dyDescent="0.25">
      <c r="A226" t="s">
        <v>77</v>
      </c>
      <c r="B226" t="s">
        <v>51</v>
      </c>
      <c r="C226">
        <v>-2</v>
      </c>
      <c r="D226" s="33" t="b">
        <v>0</v>
      </c>
      <c r="E226">
        <v>0.5</v>
      </c>
      <c r="F226">
        <v>116.1</v>
      </c>
      <c r="G226">
        <v>66.400000000000006</v>
      </c>
      <c r="H226">
        <v>91.7</v>
      </c>
      <c r="I226">
        <v>118.4</v>
      </c>
      <c r="J226">
        <v>63.9</v>
      </c>
      <c r="K226">
        <v>87.3</v>
      </c>
      <c r="L226">
        <v>-6.6000000000000014</v>
      </c>
      <c r="M226" t="s">
        <v>15</v>
      </c>
      <c r="N226" s="20">
        <v>45710</v>
      </c>
      <c r="O226" s="8">
        <v>0.875</v>
      </c>
    </row>
    <row r="227" spans="1:15" ht="24" x14ac:dyDescent="0.25">
      <c r="A227" t="s">
        <v>90</v>
      </c>
      <c r="B227" t="s">
        <v>55</v>
      </c>
      <c r="C227">
        <v>-7.5</v>
      </c>
      <c r="D227" s="33" t="b">
        <v>1</v>
      </c>
      <c r="E227">
        <v>0.98499999999999999</v>
      </c>
      <c r="F227">
        <v>107.1</v>
      </c>
      <c r="G227">
        <v>106.9</v>
      </c>
      <c r="H227">
        <v>66.8</v>
      </c>
      <c r="I227">
        <v>101.6</v>
      </c>
      <c r="J227">
        <v>110.7</v>
      </c>
      <c r="K227">
        <v>66.3</v>
      </c>
      <c r="L227">
        <v>9.370000000000001</v>
      </c>
      <c r="M227" t="s">
        <v>18</v>
      </c>
      <c r="N227" s="20">
        <v>45709</v>
      </c>
      <c r="O227" s="8">
        <v>0.66666666666666663</v>
      </c>
    </row>
    <row r="228" spans="1:15" ht="24" x14ac:dyDescent="0.25">
      <c r="A228" t="s">
        <v>99</v>
      </c>
      <c r="B228" t="s">
        <v>56</v>
      </c>
      <c r="C228">
        <v>-9.5</v>
      </c>
      <c r="D228" s="33" t="b">
        <v>1</v>
      </c>
      <c r="E228">
        <v>0.98499999999999999</v>
      </c>
      <c r="F228">
        <v>116.8</v>
      </c>
      <c r="G228">
        <v>104.3</v>
      </c>
      <c r="H228">
        <v>68</v>
      </c>
      <c r="I228">
        <v>112.3</v>
      </c>
      <c r="J228">
        <v>112.6</v>
      </c>
      <c r="K228">
        <v>70.8</v>
      </c>
      <c r="L228">
        <v>12.85</v>
      </c>
      <c r="M228" t="s">
        <v>18</v>
      </c>
      <c r="N228" s="20">
        <v>45709</v>
      </c>
      <c r="O228" s="8" cm="1">
        <f t="array" ref="O228">_xlfn.IFS(E262&gt;=0.99,$S$3, E262&gt;=0.95,$S$4, E262&gt;= 0.93, $S$5, E262&gt;= 0.9,$S$6, E262&gt;= 0.85,$S$7, E262&gt;= 0.8,$S$8, E262&gt;= 0.75,$S$9, E262 &gt;= 0.7, $S$10, E262&gt;= 0.65, $S$11, E262&gt;= 0.6, $S$12, E262&gt;= 0.55,$S$13, E262 &gt;= 0.5,$S$14)</f>
        <v>0.56666666666666665</v>
      </c>
    </row>
    <row r="229" spans="1:15" ht="24" x14ac:dyDescent="0.25">
      <c r="A229" t="s">
        <v>182</v>
      </c>
      <c r="B229" t="s">
        <v>183</v>
      </c>
      <c r="C229">
        <v>-11.5</v>
      </c>
      <c r="D229" s="33" t="b">
        <v>1</v>
      </c>
      <c r="E229">
        <v>0.89</v>
      </c>
      <c r="F229">
        <v>100.8</v>
      </c>
      <c r="G229">
        <v>105.7</v>
      </c>
      <c r="H229">
        <v>64.099999999999994</v>
      </c>
      <c r="I229">
        <v>99.7</v>
      </c>
      <c r="J229">
        <v>121.8</v>
      </c>
      <c r="K229">
        <v>65.5</v>
      </c>
      <c r="L229">
        <v>17.14</v>
      </c>
      <c r="M229" t="s">
        <v>18</v>
      </c>
      <c r="N229" s="20">
        <v>45709</v>
      </c>
      <c r="O229" s="8" cm="1">
        <f t="array" ref="O229">_xlfn.IFS(E263&gt;=0.99,$S$3, E263&gt;=0.95,$S$4, E263&gt;= 0.93, $S$5, E263&gt;= 0.9,$S$6, E263&gt;= 0.85,$S$7, E263&gt;= 0.8,$S$8, E263&gt;= 0.75,$S$9, E263 &gt;= 0.7, $S$10, E263&gt;= 0.65, $S$11, E263&gt;= 0.6, $S$12, E263&gt;= 0.55,$S$13, E263 &gt;= 0.5,$S$14)</f>
        <v>0.56666666666666665</v>
      </c>
    </row>
    <row r="230" spans="1:15" ht="24" x14ac:dyDescent="0.25">
      <c r="A230" t="s">
        <v>184</v>
      </c>
      <c r="B230" t="s">
        <v>185</v>
      </c>
      <c r="C230">
        <v>-6.5</v>
      </c>
      <c r="D230" s="33" t="b">
        <v>1</v>
      </c>
      <c r="E230">
        <v>0.84499999999999997</v>
      </c>
      <c r="F230">
        <v>103.3</v>
      </c>
      <c r="G230">
        <v>109.7</v>
      </c>
      <c r="H230">
        <v>66.3</v>
      </c>
      <c r="I230">
        <v>102.2</v>
      </c>
      <c r="J230">
        <v>115.3</v>
      </c>
      <c r="K230">
        <v>64.7</v>
      </c>
      <c r="L230">
        <v>6.67</v>
      </c>
      <c r="M230" t="s">
        <v>18</v>
      </c>
      <c r="N230" s="20">
        <v>45709</v>
      </c>
      <c r="O230" s="8" cm="1">
        <f t="array" ref="O230">_xlfn.IFS(E264&gt;=0.99,$S$3, E264&gt;=0.95,$S$4, E264&gt;= 0.93, $S$5, E264&gt;= 0.9,$S$6, E264&gt;= 0.85,$S$7, E264&gt;= 0.8,$S$8, E264&gt;= 0.75,$S$9, E264 &gt;= 0.7, $S$10, E264&gt;= 0.65, $S$11, E264&gt;= 0.6, $S$12, E264&gt;= 0.55,$S$13, E264 &gt;= 0.5,$S$14)</f>
        <v>0.56666666666666665</v>
      </c>
    </row>
    <row r="231" spans="1:15" ht="24" x14ac:dyDescent="0.25">
      <c r="A231" t="s">
        <v>89</v>
      </c>
      <c r="B231" t="s">
        <v>96</v>
      </c>
      <c r="C231">
        <v>-4.5</v>
      </c>
      <c r="D231" s="33" t="b">
        <v>1</v>
      </c>
      <c r="E231">
        <v>0.63500000000000001</v>
      </c>
      <c r="F231">
        <v>105.8</v>
      </c>
      <c r="G231">
        <v>109.7</v>
      </c>
      <c r="H231">
        <v>65.7</v>
      </c>
      <c r="I231">
        <v>109.3</v>
      </c>
      <c r="J231">
        <v>116.5</v>
      </c>
      <c r="K231">
        <v>70</v>
      </c>
      <c r="L231">
        <v>3.3</v>
      </c>
      <c r="M231" t="s">
        <v>15</v>
      </c>
      <c r="N231" s="20">
        <v>45709</v>
      </c>
      <c r="O231" s="8" cm="1">
        <f t="array" ref="O231">_xlfn.IFS(E265&gt;=0.99,$S$3, E265&gt;=0.95,$S$4, E265&gt;= 0.93, $S$5, E265&gt;= 0.9,$S$6, E265&gt;= 0.85,$S$7, E265&gt;= 0.8,$S$8, E265&gt;= 0.75,$S$9, E265 &gt;= 0.7, $S$10, E265&gt;= 0.65, $S$11, E265&gt;= 0.6, $S$12, E265&gt;= 0.55,$S$13, E265 &gt;= 0.5,$S$14)</f>
        <v>0.56666666666666665</v>
      </c>
    </row>
    <row r="232" spans="1:15" ht="24" x14ac:dyDescent="0.25">
      <c r="A232" t="s">
        <v>151</v>
      </c>
      <c r="B232" t="s">
        <v>186</v>
      </c>
      <c r="C232">
        <v>-3.5</v>
      </c>
      <c r="D232" s="33" t="b">
        <v>1</v>
      </c>
      <c r="E232">
        <v>0.56999999999999995</v>
      </c>
      <c r="F232">
        <v>119.9</v>
      </c>
      <c r="G232">
        <v>96.1</v>
      </c>
      <c r="H232">
        <v>70.099999999999994</v>
      </c>
      <c r="I232">
        <v>119.5</v>
      </c>
      <c r="J232">
        <v>94.3</v>
      </c>
      <c r="K232">
        <v>67.7</v>
      </c>
      <c r="L232">
        <v>-1.399999999999999</v>
      </c>
      <c r="M232" t="s">
        <v>18</v>
      </c>
      <c r="N232" s="20">
        <v>45709</v>
      </c>
      <c r="O232" s="8" cm="1">
        <f t="array" ref="O232">_xlfn.IFS(E266&gt;=0.99,$S$3, E266&gt;=0.95,$S$4, E266&gt;= 0.93, $S$5, E266&gt;= 0.9,$S$6, E266&gt;= 0.85,$S$7, E266&gt;= 0.8,$S$8, E266&gt;= 0.75,$S$9, E266 &gt;= 0.7, $S$10, E266&gt;= 0.65, $S$11, E266&gt;= 0.6, $S$12, E266&gt;= 0.55,$S$13, E266 &gt;= 0.5,$S$14)</f>
        <v>0.5</v>
      </c>
    </row>
    <row r="233" spans="1:15" ht="24" x14ac:dyDescent="0.25">
      <c r="A233" t="s">
        <v>187</v>
      </c>
      <c r="B233" t="s">
        <v>188</v>
      </c>
      <c r="C233">
        <v>-4</v>
      </c>
      <c r="D233" s="33" t="b">
        <v>1</v>
      </c>
      <c r="E233">
        <v>0.52</v>
      </c>
      <c r="F233">
        <v>101.3</v>
      </c>
      <c r="G233">
        <v>114.7</v>
      </c>
      <c r="H233">
        <v>64.8</v>
      </c>
      <c r="I233">
        <v>100.1</v>
      </c>
      <c r="J233">
        <v>118.2</v>
      </c>
      <c r="K233">
        <v>65.7</v>
      </c>
      <c r="L233">
        <v>4.740000000000002</v>
      </c>
      <c r="M233" t="s">
        <v>18</v>
      </c>
      <c r="N233" s="20">
        <v>45709</v>
      </c>
      <c r="O233" s="8" cm="1">
        <f t="array" ref="O233">_xlfn.IFS(E267&gt;=0.99,$S$3, E267&gt;=0.95,$S$4, E267&gt;= 0.93, $S$5, E267&gt;= 0.9,$S$6, E267&gt;= 0.85,$S$7, E267&gt;= 0.8,$S$8, E267&gt;= 0.75,$S$9, E267 &gt;= 0.7, $S$10, E267&gt;= 0.65, $S$11, E267&gt;= 0.6, $S$12, E267&gt;= 0.55,$S$13, E267 &gt;= 0.5,$S$14)</f>
        <v>0.42857142857142855</v>
      </c>
    </row>
    <row r="234" spans="1:15" ht="24" x14ac:dyDescent="0.25">
      <c r="A234" t="s">
        <v>189</v>
      </c>
      <c r="B234" t="s">
        <v>190</v>
      </c>
      <c r="C234">
        <v>-3.5</v>
      </c>
      <c r="D234" s="33" t="b">
        <v>0</v>
      </c>
      <c r="E234">
        <v>0.52</v>
      </c>
      <c r="F234">
        <v>98.2</v>
      </c>
      <c r="G234">
        <v>107.8</v>
      </c>
      <c r="H234">
        <v>69.099999999999994</v>
      </c>
      <c r="I234">
        <v>108.9</v>
      </c>
      <c r="J234">
        <v>116.1</v>
      </c>
      <c r="K234">
        <v>68</v>
      </c>
      <c r="L234">
        <v>-2.33</v>
      </c>
      <c r="M234" t="s">
        <v>18</v>
      </c>
      <c r="N234" s="20">
        <v>45709</v>
      </c>
      <c r="O234" s="8" cm="1">
        <f t="array" ref="O234">_xlfn.IFS(E268&gt;=0.99,$S$3, E268&gt;=0.95,$S$4, E268&gt;= 0.93, $S$5, E268&gt;= 0.9,$S$6, E268&gt;= 0.85,$S$7, E268&gt;= 0.8,$S$8, E268&gt;= 0.75,$S$9, E268 &gt;= 0.7, $S$10, E268&gt;= 0.65, $S$11, E268&gt;= 0.6, $S$12, E268&gt;= 0.55,$S$13, E268 &gt;= 0.5,$S$14)</f>
        <v>0.42857142857142855</v>
      </c>
    </row>
    <row r="235" spans="1:15" ht="24" x14ac:dyDescent="0.25">
      <c r="A235" s="17" t="s">
        <v>91</v>
      </c>
      <c r="B235" t="s">
        <v>30</v>
      </c>
      <c r="C235">
        <v>-15.5</v>
      </c>
      <c r="D235" s="33" t="b">
        <v>1</v>
      </c>
      <c r="E235">
        <v>0.98</v>
      </c>
      <c r="F235">
        <v>112.9</v>
      </c>
      <c r="G235">
        <v>83</v>
      </c>
      <c r="H235">
        <v>100.1</v>
      </c>
      <c r="I235">
        <v>103.4</v>
      </c>
      <c r="J235">
        <v>249</v>
      </c>
      <c r="K235">
        <v>112.5</v>
      </c>
      <c r="L235">
        <v>21.94</v>
      </c>
      <c r="M235" t="s">
        <v>18</v>
      </c>
      <c r="N235" s="20">
        <v>45708</v>
      </c>
      <c r="O235" s="8" cm="1">
        <f t="array" ref="O235">_xlfn.IFS(E269&gt;=0.99,$S$3, E269&gt;=0.95,$S$4, E269&gt;= 0.93, $S$5, E269&gt;= 0.9,$S$6, E269&gt;= 0.85,$S$7, E269&gt;= 0.8,$S$8, E269&gt;= 0.75,$S$9, E269 &gt;= 0.7, $S$10, E269&gt;= 0.65, $S$11, E269&gt;= 0.6, $S$12, E269&gt;= 0.55,$S$13, E269 &gt;= 0.5,$S$14)</f>
        <v>0.6875</v>
      </c>
    </row>
    <row r="236" spans="1:15" ht="24" x14ac:dyDescent="0.25">
      <c r="A236" t="s">
        <v>174</v>
      </c>
      <c r="B236" t="s">
        <v>175</v>
      </c>
      <c r="C236">
        <v>-15</v>
      </c>
      <c r="D236" s="33" t="b">
        <v>1</v>
      </c>
      <c r="E236">
        <v>0.93500000000000005</v>
      </c>
      <c r="F236">
        <v>107.8</v>
      </c>
      <c r="G236">
        <v>167</v>
      </c>
      <c r="H236">
        <v>102</v>
      </c>
      <c r="I236">
        <v>100.3</v>
      </c>
      <c r="J236">
        <v>306</v>
      </c>
      <c r="K236">
        <v>113.1</v>
      </c>
      <c r="L236">
        <v>18.68</v>
      </c>
      <c r="M236" t="s">
        <v>18</v>
      </c>
      <c r="N236" s="20">
        <v>45708</v>
      </c>
      <c r="O236" s="8" cm="1">
        <f t="array" ref="O236">_xlfn.IFS(E270&gt;=0.99,$S$3, E270&gt;=0.95,$S$4, E270&gt;= 0.93, $S$5, E270&gt;= 0.9,$S$6, E270&gt;= 0.85,$S$7, E270&gt;= 0.8,$S$8, E270&gt;= 0.75,$S$9, E270 &gt;= 0.7, $S$10, E270&gt;= 0.65, $S$11, E270&gt;= 0.6, $S$12, E270&gt;= 0.55,$S$13, E270 &gt;= 0.5,$S$14)</f>
        <v>0.6875</v>
      </c>
    </row>
    <row r="237" spans="1:15" ht="24" x14ac:dyDescent="0.25">
      <c r="A237" t="s">
        <v>176</v>
      </c>
      <c r="B237" t="s">
        <v>177</v>
      </c>
      <c r="C237">
        <v>-9.5</v>
      </c>
      <c r="D237" s="33" t="b">
        <v>1</v>
      </c>
      <c r="E237">
        <v>0.89</v>
      </c>
      <c r="F237">
        <v>119.3</v>
      </c>
      <c r="G237">
        <v>25</v>
      </c>
      <c r="H237">
        <v>97.7</v>
      </c>
      <c r="I237">
        <v>114.4</v>
      </c>
      <c r="J237">
        <v>67</v>
      </c>
      <c r="K237">
        <v>100.9</v>
      </c>
      <c r="L237">
        <v>8.1000000000000014</v>
      </c>
      <c r="M237" t="s">
        <v>18</v>
      </c>
      <c r="N237" s="20">
        <v>45708</v>
      </c>
      <c r="O237" s="8" cm="1">
        <f t="array" ref="O237">_xlfn.IFS(E271&gt;=0.99,$S$3, E271&gt;=0.95,$S$4, E271&gt;= 0.93, $S$5, E271&gt;= 0.9,$S$6, E271&gt;= 0.85,$S$7, E271&gt;= 0.8,$S$8, E271&gt;= 0.75,$S$9, E271 &gt;= 0.7, $S$10, E271&gt;= 0.65, $S$11, E271&gt;= 0.6, $S$12, E271&gt;= 0.55,$S$13, E271 &gt;= 0.5,$S$14)</f>
        <v>0.3</v>
      </c>
    </row>
    <row r="238" spans="1:15" ht="24" x14ac:dyDescent="0.25">
      <c r="A238" t="s">
        <v>47</v>
      </c>
      <c r="B238" t="s">
        <v>178</v>
      </c>
      <c r="C238">
        <v>-7</v>
      </c>
      <c r="D238" s="33" t="b">
        <v>1</v>
      </c>
      <c r="E238">
        <v>0.87</v>
      </c>
      <c r="F238">
        <v>98.8</v>
      </c>
      <c r="G238">
        <v>329</v>
      </c>
      <c r="H238">
        <v>103.4</v>
      </c>
      <c r="I238">
        <v>102.9</v>
      </c>
      <c r="J238">
        <v>262</v>
      </c>
      <c r="K238">
        <v>113.1</v>
      </c>
      <c r="L238">
        <v>5.669999999999999</v>
      </c>
      <c r="M238" t="s">
        <v>18</v>
      </c>
      <c r="N238" s="20">
        <v>45708</v>
      </c>
      <c r="O238" s="8" cm="1">
        <f t="array" ref="O238">_xlfn.IFS(E272&gt;=0.99,$S$3, E272&gt;=0.95,$S$4, E272&gt;= 0.93, $S$5, E272&gt;= 0.9,$S$6, E272&gt;= 0.85,$S$7, E272&gt;= 0.8,$S$8, E272&gt;= 0.75,$S$9, E272 &gt;= 0.7, $S$10, E272&gt;= 0.65, $S$11, E272&gt;= 0.6, $S$12, E272&gt;= 0.55,$S$13, E272 &gt;= 0.5,$S$14)</f>
        <v>0.3</v>
      </c>
    </row>
    <row r="239" spans="1:15" ht="24" x14ac:dyDescent="0.25">
      <c r="A239" t="s">
        <v>60</v>
      </c>
      <c r="B239" t="s">
        <v>36</v>
      </c>
      <c r="C239">
        <v>-11.5</v>
      </c>
      <c r="D239" s="33" t="b">
        <v>1</v>
      </c>
      <c r="E239">
        <v>0.81499999999999995</v>
      </c>
      <c r="F239">
        <v>120.9</v>
      </c>
      <c r="G239">
        <v>16</v>
      </c>
      <c r="H239">
        <v>95.7</v>
      </c>
      <c r="I239">
        <v>116.5</v>
      </c>
      <c r="J239">
        <v>50</v>
      </c>
      <c r="K239">
        <v>102.6</v>
      </c>
      <c r="L239">
        <v>11.31</v>
      </c>
      <c r="M239" t="s">
        <v>15</v>
      </c>
      <c r="N239" s="20">
        <v>45708</v>
      </c>
      <c r="O239" s="8" cm="1">
        <f t="array" ref="O239">_xlfn.IFS(E273&gt;=0.99,$S$3, E273&gt;=0.95,$S$4, E273&gt;= 0.93, $S$5, E273&gt;= 0.9,$S$6, E273&gt;= 0.85,$S$7, E273&gt;= 0.8,$S$8, E273&gt;= 0.75,$S$9, E273 &gt;= 0.7, $S$10, E273&gt;= 0.65, $S$11, E273&gt;= 0.6, $S$12, E273&gt;= 0.55,$S$13, E273 &gt;= 0.5,$S$14)</f>
        <v>0.45</v>
      </c>
    </row>
    <row r="240" spans="1:15" ht="24" x14ac:dyDescent="0.25">
      <c r="A240" t="s">
        <v>46</v>
      </c>
      <c r="B240" t="s">
        <v>179</v>
      </c>
      <c r="C240">
        <v>-6</v>
      </c>
      <c r="D240" s="33" t="b">
        <v>1</v>
      </c>
      <c r="E240">
        <v>0.80500000000000005</v>
      </c>
      <c r="F240">
        <v>107.1</v>
      </c>
      <c r="G240">
        <v>186</v>
      </c>
      <c r="H240">
        <v>110.7</v>
      </c>
      <c r="I240">
        <v>100.5</v>
      </c>
      <c r="J240">
        <v>301</v>
      </c>
      <c r="K240">
        <v>110.5</v>
      </c>
      <c r="L240">
        <v>6.37</v>
      </c>
      <c r="M240" t="s">
        <v>18</v>
      </c>
      <c r="N240" s="20">
        <v>45708</v>
      </c>
      <c r="O240" s="8" cm="1">
        <f t="array" ref="O240">_xlfn.IFS(E274&gt;=0.99,$S$3, E274&gt;=0.95,$S$4, E274&gt;= 0.93, $S$5, E274&gt;= 0.9,$S$6, E274&gt;= 0.85,$S$7, E274&gt;= 0.8,$S$8, E274&gt;= 0.75,$S$9, E274 &gt;= 0.7, $S$10, E274&gt;= 0.65, $S$11, E274&gt;= 0.6, $S$12, E274&gt;= 0.55,$S$13, E274 &gt;= 0.5,$S$14)</f>
        <v>0.45</v>
      </c>
    </row>
    <row r="241" spans="1:15" ht="24" x14ac:dyDescent="0.25">
      <c r="A241" t="s">
        <v>122</v>
      </c>
      <c r="B241" t="s">
        <v>32</v>
      </c>
      <c r="C241">
        <v>-3.5</v>
      </c>
      <c r="D241" s="33" t="b">
        <v>1</v>
      </c>
      <c r="E241">
        <v>0.6</v>
      </c>
      <c r="F241">
        <v>109.5</v>
      </c>
      <c r="G241">
        <v>131</v>
      </c>
      <c r="H241">
        <v>116.6</v>
      </c>
      <c r="I241">
        <v>102.9</v>
      </c>
      <c r="J241">
        <v>264</v>
      </c>
      <c r="K241">
        <v>106.4</v>
      </c>
      <c r="L241">
        <v>-3.54</v>
      </c>
      <c r="M241" t="s">
        <v>18</v>
      </c>
      <c r="N241" s="20">
        <v>45708</v>
      </c>
      <c r="O241" s="8" cm="1">
        <f t="array" ref="O241">_xlfn.IFS(E275&gt;=0.99,$S$3, E275&gt;=0.95,$S$4, E275&gt;= 0.93, $S$5, E275&gt;= 0.9,$S$6, E275&gt;= 0.85,$S$7, E275&gt;= 0.8,$S$8, E275&gt;= 0.75,$S$9, E275 &gt;= 0.7, $S$10, E275&gt;= 0.65, $S$11, E275&gt;= 0.6, $S$12, E275&gt;= 0.55,$S$13, E275 &gt;= 0.5,$S$14)</f>
        <v>0.45</v>
      </c>
    </row>
    <row r="242" spans="1:15" ht="24" x14ac:dyDescent="0.25">
      <c r="A242" t="s">
        <v>180</v>
      </c>
      <c r="B242" t="s">
        <v>181</v>
      </c>
      <c r="C242">
        <v>-2</v>
      </c>
      <c r="D242" s="33" t="b">
        <v>1</v>
      </c>
      <c r="E242">
        <v>0.56999999999999995</v>
      </c>
      <c r="F242">
        <v>105.8</v>
      </c>
      <c r="G242">
        <v>211</v>
      </c>
      <c r="H242">
        <v>110.8</v>
      </c>
      <c r="I242">
        <v>103.1</v>
      </c>
      <c r="J242">
        <v>258</v>
      </c>
      <c r="K242">
        <v>105.8</v>
      </c>
      <c r="L242">
        <v>-2.2599999999999998</v>
      </c>
      <c r="M242" t="s">
        <v>15</v>
      </c>
      <c r="N242" s="20">
        <v>45708</v>
      </c>
      <c r="O242" s="8" cm="1">
        <f t="array" ref="O242">_xlfn.IFS(E276&gt;=0.99,$S$3, E276&gt;=0.95,$S$4, E276&gt;= 0.93, $S$5, E276&gt;= 0.9,$S$6, E276&gt;= 0.85,$S$7, E276&gt;= 0.8,$S$8, E276&gt;= 0.75,$S$9, E276 &gt;= 0.7, $S$10, E276&gt;= 0.65, $S$11, E276&gt;= 0.6, $S$12, E276&gt;= 0.55,$S$13, E276 &gt;= 0.5,$S$14)</f>
        <v>0.75</v>
      </c>
    </row>
    <row r="243" spans="1:15" ht="24" x14ac:dyDescent="0.25">
      <c r="A243" t="s">
        <v>154</v>
      </c>
      <c r="B243" t="s">
        <v>101</v>
      </c>
      <c r="C243">
        <v>-14</v>
      </c>
      <c r="D243" s="33" t="b">
        <v>1</v>
      </c>
      <c r="E243">
        <v>0.995</v>
      </c>
      <c r="F243">
        <v>111.3</v>
      </c>
      <c r="G243">
        <v>98.7</v>
      </c>
      <c r="H243">
        <v>60.5</v>
      </c>
      <c r="I243">
        <v>102.4</v>
      </c>
      <c r="J243">
        <v>111.2</v>
      </c>
      <c r="K243">
        <v>66.099999999999994</v>
      </c>
      <c r="L243">
        <v>21.36</v>
      </c>
      <c r="M243" t="s">
        <v>15</v>
      </c>
      <c r="N243" s="20">
        <v>45707</v>
      </c>
      <c r="O243" s="8" cm="1">
        <f t="array" ref="O243">_xlfn.IFS(E277&gt;=0.99,$S$3, E277&gt;=0.95,$S$4, E277&gt;= 0.93, $S$5, E277&gt;= 0.9,$S$6, E277&gt;= 0.85,$S$7, E277&gt;= 0.8,$S$8, E277&gt;= 0.75,$S$9, E277 &gt;= 0.7, $S$10, E277&gt;= 0.65, $S$11, E277&gt;= 0.6, $S$12, E277&gt;= 0.55,$S$13, E277 &gt;= 0.5,$S$14)</f>
        <v>0.47222222222222221</v>
      </c>
    </row>
    <row r="244" spans="1:15" ht="24" x14ac:dyDescent="0.25">
      <c r="A244" t="s">
        <v>155</v>
      </c>
      <c r="B244" t="s">
        <v>156</v>
      </c>
      <c r="C244">
        <v>-16.5</v>
      </c>
      <c r="D244" s="33" t="b">
        <v>1</v>
      </c>
      <c r="E244">
        <v>0.99</v>
      </c>
      <c r="F244">
        <v>120.6</v>
      </c>
      <c r="G244">
        <v>105</v>
      </c>
      <c r="H244">
        <v>68.400000000000006</v>
      </c>
      <c r="I244">
        <v>109.2</v>
      </c>
      <c r="J244">
        <v>109.6</v>
      </c>
      <c r="K244">
        <v>65.7</v>
      </c>
      <c r="L244">
        <v>15.98</v>
      </c>
      <c r="M244" t="s">
        <v>15</v>
      </c>
      <c r="N244" s="20">
        <v>45707</v>
      </c>
      <c r="O244" s="8" cm="1">
        <f t="array" ref="O244">_xlfn.IFS(E278&gt;=0.99,$S$3, E278&gt;=0.95,$S$4, E278&gt;= 0.93, $S$5, E278&gt;= 0.9,$S$6, E278&gt;= 0.85,$S$7, E278&gt;= 0.8,$S$8, E278&gt;= 0.75,$S$9, E278 &gt;= 0.7, $S$10, E278&gt;= 0.65, $S$11, E278&gt;= 0.6, $S$12, E278&gt;= 0.55,$S$13, E278 &gt;= 0.5,$S$14)</f>
        <v>0.72727272727272729</v>
      </c>
    </row>
    <row r="245" spans="1:15" ht="24" x14ac:dyDescent="0.25">
      <c r="A245" t="s">
        <v>157</v>
      </c>
      <c r="B245" t="s">
        <v>57</v>
      </c>
      <c r="C245">
        <v>-7</v>
      </c>
      <c r="D245" s="33" t="b">
        <v>1</v>
      </c>
      <c r="E245">
        <v>0.99</v>
      </c>
      <c r="F245">
        <v>106.2</v>
      </c>
      <c r="G245">
        <v>104.6</v>
      </c>
      <c r="H245">
        <v>64.8</v>
      </c>
      <c r="I245">
        <v>107.3</v>
      </c>
      <c r="J245">
        <v>111.5</v>
      </c>
      <c r="K245">
        <v>69.599999999999994</v>
      </c>
      <c r="L245">
        <v>5.83</v>
      </c>
      <c r="M245" t="s">
        <v>15</v>
      </c>
      <c r="N245" s="20">
        <v>45707</v>
      </c>
      <c r="O245" s="8" cm="1">
        <f t="array" ref="O245">_xlfn.IFS(E279&gt;=0.99,$S$3, E279&gt;=0.95,$S$4, E279&gt;= 0.93, $S$5, E279&gt;= 0.9,$S$6, E279&gt;= 0.85,$S$7, E279&gt;= 0.8,$S$8, E279&gt;= 0.75,$S$9, E279 &gt;= 0.7, $S$10, E279&gt;= 0.65, $S$11, E279&gt;= 0.6, $S$12, E279&gt;= 0.55,$S$13, E279 &gt;= 0.5,$S$14)</f>
        <v>0.56666666666666665</v>
      </c>
    </row>
    <row r="246" spans="1:15" ht="24" x14ac:dyDescent="0.25">
      <c r="A246" t="s">
        <v>158</v>
      </c>
      <c r="B246" t="s">
        <v>159</v>
      </c>
      <c r="C246">
        <v>-7.5</v>
      </c>
      <c r="D246" s="33" t="b">
        <v>1</v>
      </c>
      <c r="E246">
        <v>0.98499999999999999</v>
      </c>
      <c r="F246">
        <v>112.6</v>
      </c>
      <c r="G246">
        <v>106.4</v>
      </c>
      <c r="H246">
        <v>70</v>
      </c>
      <c r="I246">
        <v>108.6</v>
      </c>
      <c r="J246">
        <v>108.4</v>
      </c>
      <c r="K246">
        <v>65.3</v>
      </c>
      <c r="L246">
        <v>6.06</v>
      </c>
      <c r="M246" t="s">
        <v>18</v>
      </c>
      <c r="N246" s="20">
        <v>45707</v>
      </c>
      <c r="O246" s="8" cm="1">
        <f t="array" ref="O246">_xlfn.IFS(E280&gt;=0.99,$S$3, E280&gt;=0.95,$S$4, E280&gt;= 0.93, $S$5, E280&gt;= 0.9,$S$6, E280&gt;= 0.85,$S$7, E280&gt;= 0.8,$S$8, E280&gt;= 0.75,$S$9, E280 &gt;= 0.7, $S$10, E280&gt;= 0.65, $S$11, E280&gt;= 0.6, $S$12, E280&gt;= 0.55,$S$13, E280 &gt;= 0.5,$S$14)</f>
        <v>0.5</v>
      </c>
    </row>
    <row r="247" spans="1:15" ht="24" x14ac:dyDescent="0.25">
      <c r="A247" t="s">
        <v>50</v>
      </c>
      <c r="B247" t="s">
        <v>160</v>
      </c>
      <c r="C247">
        <v>-16</v>
      </c>
      <c r="D247" s="33" t="b">
        <v>1</v>
      </c>
      <c r="E247">
        <v>0.97</v>
      </c>
      <c r="F247">
        <v>131.1</v>
      </c>
      <c r="G247">
        <v>94.4</v>
      </c>
      <c r="H247">
        <v>68.3</v>
      </c>
      <c r="I247">
        <v>113.4</v>
      </c>
      <c r="J247">
        <v>96.2</v>
      </c>
      <c r="K247">
        <v>68.7</v>
      </c>
      <c r="L247">
        <v>19.48</v>
      </c>
      <c r="M247" t="s">
        <v>18</v>
      </c>
      <c r="N247" s="20">
        <v>45707</v>
      </c>
      <c r="O247" s="8" cm="1">
        <f t="array" ref="O247">_xlfn.IFS(E281&gt;=0.99,$S$3, E281&gt;=0.95,$S$4, E281&gt;= 0.93, $S$5, E281&gt;= 0.9,$S$6, E281&gt;= 0.85,$S$7, E281&gt;= 0.8,$S$8, E281&gt;= 0.75,$S$9, E281 &gt;= 0.7, $S$10, E281&gt;= 0.65, $S$11, E281&gt;= 0.6, $S$12, E281&gt;= 0.55,$S$13, E281 &gt;= 0.5,$S$14)</f>
        <v>0.42857142857142855</v>
      </c>
    </row>
    <row r="248" spans="1:15" ht="24" x14ac:dyDescent="0.25">
      <c r="A248" t="s">
        <v>161</v>
      </c>
      <c r="B248" t="s">
        <v>162</v>
      </c>
      <c r="C248">
        <v>-7</v>
      </c>
      <c r="D248" s="33" t="b">
        <v>1</v>
      </c>
      <c r="E248">
        <v>0.94499999999999995</v>
      </c>
      <c r="F248">
        <v>108.8</v>
      </c>
      <c r="G248">
        <v>112</v>
      </c>
      <c r="H248">
        <v>72.400000000000006</v>
      </c>
      <c r="I248">
        <v>99.4</v>
      </c>
      <c r="J248">
        <v>107.4</v>
      </c>
      <c r="K248">
        <v>66.5</v>
      </c>
      <c r="L248">
        <v>4.84</v>
      </c>
      <c r="M248" t="s">
        <v>18</v>
      </c>
      <c r="N248" s="20">
        <v>45707</v>
      </c>
      <c r="O248" s="8" cm="1">
        <f t="array" ref="O248">_xlfn.IFS(E282&gt;=0.99,$S$3, E282&gt;=0.95,$S$4, E282&gt;= 0.93, $S$5, E282&gt;= 0.9,$S$6, E282&gt;= 0.85,$S$7, E282&gt;= 0.8,$S$8, E282&gt;= 0.75,$S$9, E282 &gt;= 0.7, $S$10, E282&gt;= 0.65, $S$11, E282&gt;= 0.6, $S$12, E282&gt;= 0.55,$S$13, E282 &gt;= 0.5,$S$14)</f>
        <v>0.42857142857142855</v>
      </c>
    </row>
    <row r="249" spans="1:15" ht="24" x14ac:dyDescent="0.25">
      <c r="A249" t="s">
        <v>76</v>
      </c>
      <c r="B249" t="s">
        <v>84</v>
      </c>
      <c r="C249">
        <v>-6</v>
      </c>
      <c r="D249" s="33" t="b">
        <v>1</v>
      </c>
      <c r="E249">
        <v>0.94</v>
      </c>
      <c r="F249">
        <v>126.6</v>
      </c>
      <c r="G249">
        <v>102.3</v>
      </c>
      <c r="H249">
        <v>70.8</v>
      </c>
      <c r="I249">
        <v>119.2</v>
      </c>
      <c r="J249">
        <v>102.5</v>
      </c>
      <c r="K249">
        <v>69.7</v>
      </c>
      <c r="L249">
        <v>7.5300000000000011</v>
      </c>
      <c r="M249" t="s">
        <v>15</v>
      </c>
      <c r="N249" s="20">
        <v>45707</v>
      </c>
      <c r="O249" s="8" cm="1">
        <f t="array" ref="O249">_xlfn.IFS(E283&gt;=0.99,$S$3, E283&gt;=0.95,$S$4, E283&gt;= 0.93, $S$5, E283&gt;= 0.9,$S$6, E283&gt;= 0.85,$S$7, E283&gt;= 0.8,$S$8, E283&gt;= 0.75,$S$9, E283 &gt;= 0.7, $S$10, E283&gt;= 0.65, $S$11, E283&gt;= 0.6, $S$12, E283&gt;= 0.55,$S$13, E283 &gt;= 0.5,$S$14)</f>
        <v>0.3</v>
      </c>
    </row>
    <row r="250" spans="1:15" ht="24" x14ac:dyDescent="0.25">
      <c r="A250" t="s">
        <v>87</v>
      </c>
      <c r="B250" t="s">
        <v>107</v>
      </c>
      <c r="C250">
        <v>-6.5</v>
      </c>
      <c r="D250" s="33" t="b">
        <v>1</v>
      </c>
      <c r="E250">
        <v>0.94</v>
      </c>
      <c r="F250">
        <v>106.9</v>
      </c>
      <c r="G250">
        <v>114</v>
      </c>
      <c r="H250">
        <v>66.900000000000006</v>
      </c>
      <c r="I250">
        <v>102.1</v>
      </c>
      <c r="J250">
        <v>112.2</v>
      </c>
      <c r="K250">
        <v>66.7</v>
      </c>
      <c r="L250">
        <v>2.99</v>
      </c>
      <c r="M250" t="s">
        <v>18</v>
      </c>
      <c r="N250" s="20">
        <v>45707</v>
      </c>
      <c r="O250" s="8" cm="1">
        <f t="array" ref="O250">_xlfn.IFS(E284&gt;=0.99,$S$3, E284&gt;=0.95,$S$4, E284&gt;= 0.93, $S$5, E284&gt;= 0.9,$S$6, E284&gt;= 0.85,$S$7, E284&gt;= 0.8,$S$8, E284&gt;= 0.75,$S$9, E284 &gt;= 0.7, $S$10, E284&gt;= 0.65, $S$11, E284&gt;= 0.6, $S$12, E284&gt;= 0.55,$S$13, E284 &gt;= 0.5,$S$14)</f>
        <v>0.3</v>
      </c>
    </row>
    <row r="251" spans="1:15" ht="24" x14ac:dyDescent="0.25">
      <c r="A251" t="s">
        <v>163</v>
      </c>
      <c r="B251" t="s">
        <v>78</v>
      </c>
      <c r="C251">
        <v>-4</v>
      </c>
      <c r="D251" s="33" t="b">
        <v>1</v>
      </c>
      <c r="E251">
        <v>0.91</v>
      </c>
      <c r="F251">
        <v>107.4</v>
      </c>
      <c r="G251">
        <v>98.1</v>
      </c>
      <c r="H251">
        <v>68</v>
      </c>
      <c r="I251">
        <v>114.4</v>
      </c>
      <c r="J251">
        <v>104.5</v>
      </c>
      <c r="K251">
        <v>66.400000000000006</v>
      </c>
      <c r="L251">
        <v>-0.58000000000000007</v>
      </c>
      <c r="M251" t="s">
        <v>15</v>
      </c>
      <c r="N251" s="20">
        <v>45707</v>
      </c>
      <c r="O251" s="8" cm="1">
        <f t="array" ref="O251">_xlfn.IFS(E285&gt;=0.99,$S$3, E285&gt;=0.95,$S$4, E285&gt;= 0.93, $S$5, E285&gt;= 0.9,$S$6, E285&gt;= 0.85,$S$7, E285&gt;= 0.8,$S$8, E285&gt;= 0.75,$S$9, E285 &gt;= 0.7, $S$10, E285&gt;= 0.65, $S$11, E285&gt;= 0.6, $S$12, E285&gt;= 0.55,$S$13, E285 &gt;= 0.5,$S$14)</f>
        <v>0.3</v>
      </c>
    </row>
    <row r="252" spans="1:15" ht="24" x14ac:dyDescent="0.25">
      <c r="A252" t="s">
        <v>164</v>
      </c>
      <c r="B252" t="s">
        <v>165</v>
      </c>
      <c r="C252">
        <v>-2.5</v>
      </c>
      <c r="D252" s="33" t="b">
        <v>1</v>
      </c>
      <c r="E252">
        <v>0.88</v>
      </c>
      <c r="F252">
        <v>107.3</v>
      </c>
      <c r="G252">
        <v>113.5</v>
      </c>
      <c r="H252">
        <v>68.3</v>
      </c>
      <c r="I252">
        <v>102.6</v>
      </c>
      <c r="J252">
        <v>108</v>
      </c>
      <c r="K252">
        <v>64.099999999999994</v>
      </c>
      <c r="L252">
        <v>-0.76000000000000068</v>
      </c>
      <c r="M252" t="s">
        <v>18</v>
      </c>
      <c r="N252" s="20">
        <v>45707</v>
      </c>
      <c r="O252" s="8" cm="1">
        <f t="array" ref="O252">_xlfn.IFS(E286&gt;=0.99,$S$3, E286&gt;=0.95,$S$4, E286&gt;= 0.93, $S$5, E286&gt;= 0.9,$S$6, E286&gt;= 0.85,$S$7, E286&gt;= 0.8,$S$8, E286&gt;= 0.75,$S$9, E286 &gt;= 0.7, $S$10, E286&gt;= 0.65, $S$11, E286&gt;= 0.6, $S$12, E286&gt;= 0.55,$S$13, E286 &gt;= 0.5,$S$14)</f>
        <v>0.72727272727272729</v>
      </c>
    </row>
    <row r="253" spans="1:15" ht="24" x14ac:dyDescent="0.25">
      <c r="A253" t="s">
        <v>166</v>
      </c>
      <c r="B253" t="s">
        <v>119</v>
      </c>
      <c r="C253">
        <v>-2.5</v>
      </c>
      <c r="D253" s="33" t="b">
        <v>1</v>
      </c>
      <c r="E253">
        <v>0.82499999999999996</v>
      </c>
      <c r="F253">
        <v>110.2</v>
      </c>
      <c r="G253">
        <v>102.4</v>
      </c>
      <c r="H253">
        <v>68.5</v>
      </c>
      <c r="I253">
        <v>114.8</v>
      </c>
      <c r="J253">
        <v>104.1</v>
      </c>
      <c r="K253">
        <v>68.7</v>
      </c>
      <c r="L253">
        <v>-2.86</v>
      </c>
      <c r="M253" t="s">
        <v>18</v>
      </c>
      <c r="N253" s="20">
        <v>45707</v>
      </c>
      <c r="O253" s="8" cm="1">
        <f t="array" ref="O253">_xlfn.IFS(E287&gt;=0.99,$S$3, E287&gt;=0.95,$S$4, E287&gt;= 0.93, $S$5, E287&gt;= 0.9,$S$6, E287&gt;= 0.85,$S$7, E287&gt;= 0.8,$S$8, E287&gt;= 0.75,$S$9, E287 &gt;= 0.7, $S$10, E287&gt;= 0.65, $S$11, E287&gt;= 0.6, $S$12, E287&gt;= 0.55,$S$13, E287 &gt;= 0.5,$S$14)</f>
        <v>0.47619047619047616</v>
      </c>
    </row>
    <row r="254" spans="1:15" ht="24" x14ac:dyDescent="0.25">
      <c r="A254" t="s">
        <v>93</v>
      </c>
      <c r="B254" t="s">
        <v>61</v>
      </c>
      <c r="C254">
        <v>-4</v>
      </c>
      <c r="D254" s="33" t="b">
        <v>1</v>
      </c>
      <c r="E254">
        <v>0.82499999999999996</v>
      </c>
      <c r="F254">
        <v>104.4</v>
      </c>
      <c r="G254">
        <v>109.8</v>
      </c>
      <c r="H254">
        <v>69.2</v>
      </c>
      <c r="I254">
        <v>104.5</v>
      </c>
      <c r="J254">
        <v>110.8</v>
      </c>
      <c r="K254">
        <v>64.099999999999994</v>
      </c>
      <c r="L254">
        <v>0.87000000000000011</v>
      </c>
      <c r="M254" t="s">
        <v>18</v>
      </c>
      <c r="N254" s="20">
        <v>45707</v>
      </c>
      <c r="O254" s="8" cm="1">
        <f t="array" ref="O254">_xlfn.IFS(E288&gt;=0.99,$S$3, E288&gt;=0.95,$S$4, E288&gt;= 0.93, $S$5, E288&gt;= 0.9,$S$6, E288&gt;= 0.85,$S$7, E288&gt;= 0.8,$S$8, E288&gt;= 0.75,$S$9, E288 &gt;= 0.7, $S$10, E288&gt;= 0.65, $S$11, E288&gt;= 0.6, $S$12, E288&gt;= 0.55,$S$13, E288 &gt;= 0.5,$S$14)</f>
        <v>0.33333333333333331</v>
      </c>
    </row>
    <row r="255" spans="1:15" ht="24" x14ac:dyDescent="0.25">
      <c r="A255" t="s">
        <v>80</v>
      </c>
      <c r="B255" t="s">
        <v>167</v>
      </c>
      <c r="C255">
        <v>-2</v>
      </c>
      <c r="D255" s="33" t="b">
        <v>1</v>
      </c>
      <c r="E255">
        <v>0.755</v>
      </c>
      <c r="F255">
        <v>109.1</v>
      </c>
      <c r="G255">
        <v>103.5</v>
      </c>
      <c r="H255">
        <v>70.5</v>
      </c>
      <c r="I255">
        <v>115.7</v>
      </c>
      <c r="J255">
        <v>104.5</v>
      </c>
      <c r="K255">
        <v>71.599999999999994</v>
      </c>
      <c r="L255">
        <v>-5.63</v>
      </c>
      <c r="M255" t="s">
        <v>15</v>
      </c>
      <c r="N255" s="20">
        <v>45707</v>
      </c>
      <c r="O255" s="8" cm="1">
        <f t="array" ref="O255">_xlfn.IFS(E289&gt;=0.99,$S$3, E289&gt;=0.95,$S$4, E289&gt;= 0.93, $S$5, E289&gt;= 0.9,$S$6, E289&gt;= 0.85,$S$7, E289&gt;= 0.8,$S$8, E289&gt;= 0.75,$S$9, E289 &gt;= 0.7, $S$10, E289&gt;= 0.65, $S$11, E289&gt;= 0.6, $S$12, E289&gt;= 0.55,$S$13, E289 &gt;= 0.5,$S$14)</f>
        <v>0.33333333333333331</v>
      </c>
    </row>
    <row r="256" spans="1:15" ht="24" x14ac:dyDescent="0.25">
      <c r="A256" t="s">
        <v>168</v>
      </c>
      <c r="B256" t="s">
        <v>169</v>
      </c>
      <c r="C256">
        <v>-2.5</v>
      </c>
      <c r="D256" s="33" t="b">
        <v>1</v>
      </c>
      <c r="E256">
        <v>0.67</v>
      </c>
      <c r="F256">
        <v>116.5</v>
      </c>
      <c r="G256">
        <v>100.9</v>
      </c>
      <c r="H256">
        <v>66.2</v>
      </c>
      <c r="I256">
        <v>114.3</v>
      </c>
      <c r="J256">
        <v>96.8</v>
      </c>
      <c r="K256">
        <v>72.8</v>
      </c>
      <c r="L256">
        <v>-1.880000000000001</v>
      </c>
      <c r="M256" t="s">
        <v>15</v>
      </c>
      <c r="N256" s="20">
        <v>45707</v>
      </c>
      <c r="O256" s="8" cm="1">
        <f t="array" ref="O256">_xlfn.IFS(E290&gt;=0.99,$S$3, E290&gt;=0.95,$S$4, E290&gt;= 0.93, $S$5, E290&gt;= 0.9,$S$6, E290&gt;= 0.85,$S$7, E290&gt;= 0.8,$S$8, E290&gt;= 0.75,$S$9, E290 &gt;= 0.7, $S$10, E290&gt;= 0.65, $S$11, E290&gt;= 0.6, $S$12, E290&gt;= 0.55,$S$13, E290 &gt;= 0.5,$S$14)</f>
        <v>0.5</v>
      </c>
    </row>
    <row r="257" spans="1:15" ht="24" x14ac:dyDescent="0.25">
      <c r="A257" t="s">
        <v>72</v>
      </c>
      <c r="B257" t="s">
        <v>86</v>
      </c>
      <c r="C257">
        <v>-1.5</v>
      </c>
      <c r="D257" s="33" t="b">
        <v>0</v>
      </c>
      <c r="E257">
        <v>0.64</v>
      </c>
      <c r="F257">
        <v>103.1</v>
      </c>
      <c r="G257">
        <v>113.9</v>
      </c>
      <c r="H257">
        <v>67.2</v>
      </c>
      <c r="I257">
        <v>104.9</v>
      </c>
      <c r="J257">
        <v>111.4</v>
      </c>
      <c r="K257">
        <v>63.4</v>
      </c>
      <c r="L257">
        <v>-4.29</v>
      </c>
      <c r="M257" t="s">
        <v>18</v>
      </c>
      <c r="N257" s="20">
        <v>45707</v>
      </c>
      <c r="O257" s="8" cm="1">
        <f t="array" ref="O257">_xlfn.IFS(E291&gt;=0.99,$S$3, E291&gt;=0.95,$S$4, E291&gt;= 0.93, $S$5, E291&gt;= 0.9,$S$6, E291&gt;= 0.85,$S$7, E291&gt;= 0.8,$S$8, E291&gt;= 0.75,$S$9, E291 &gt;= 0.7, $S$10, E291&gt;= 0.65, $S$11, E291&gt;= 0.6, $S$12, E291&gt;= 0.55,$S$13, E291 &gt;= 0.5,$S$14)</f>
        <v>0.5</v>
      </c>
    </row>
    <row r="258" spans="1:15" ht="24" x14ac:dyDescent="0.25">
      <c r="A258" t="s">
        <v>70</v>
      </c>
      <c r="B258" t="s">
        <v>24</v>
      </c>
      <c r="C258">
        <v>-3.5</v>
      </c>
      <c r="D258" s="33" t="b">
        <v>1</v>
      </c>
      <c r="E258">
        <v>0.63</v>
      </c>
      <c r="F258">
        <v>99.2</v>
      </c>
      <c r="G258">
        <v>113.9</v>
      </c>
      <c r="H258">
        <v>66.599999999999994</v>
      </c>
      <c r="I258">
        <v>105.5</v>
      </c>
      <c r="J258">
        <v>119.6</v>
      </c>
      <c r="K258">
        <v>68</v>
      </c>
      <c r="L258">
        <v>-0.71999999999999886</v>
      </c>
      <c r="M258" t="s">
        <v>15</v>
      </c>
      <c r="N258" s="20">
        <v>45707</v>
      </c>
      <c r="O258" s="8" cm="1">
        <f t="array" ref="O258">_xlfn.IFS(E292&gt;=0.99,$S$3, E292&gt;=0.95,$S$4, E292&gt;= 0.93, $S$5, E292&gt;= 0.9,$S$6, E292&gt;= 0.85,$S$7, E292&gt;= 0.8,$S$8, E292&gt;= 0.75,$S$9, E292 &gt;= 0.7, $S$10, E292&gt;= 0.65, $S$11, E292&gt;= 0.6, $S$12, E292&gt;= 0.55,$S$13, E292 &gt;= 0.5,$S$14)</f>
        <v>0.42857142857142855</v>
      </c>
    </row>
    <row r="259" spans="1:15" ht="24" x14ac:dyDescent="0.25">
      <c r="A259" t="s">
        <v>37</v>
      </c>
      <c r="B259" t="s">
        <v>170</v>
      </c>
      <c r="C259">
        <v>-1.5</v>
      </c>
      <c r="D259" s="33" t="b">
        <v>1</v>
      </c>
      <c r="E259">
        <v>0.63</v>
      </c>
      <c r="F259">
        <v>114.3</v>
      </c>
      <c r="G259">
        <v>103.5</v>
      </c>
      <c r="H259">
        <v>70.099999999999994</v>
      </c>
      <c r="I259">
        <v>115.6</v>
      </c>
      <c r="J259">
        <v>98</v>
      </c>
      <c r="K259">
        <v>67.5</v>
      </c>
      <c r="L259">
        <v>-6.8500000000000014</v>
      </c>
      <c r="M259" t="s">
        <v>15</v>
      </c>
      <c r="N259" s="20">
        <v>45707</v>
      </c>
      <c r="O259" s="8" cm="1">
        <f t="array" ref="O259">_xlfn.IFS(E293&gt;=0.99,$S$3, E293&gt;=0.95,$S$4, E293&gt;= 0.93, $S$5, E293&gt;= 0.9,$S$6, E293&gt;= 0.85,$S$7, E293&gt;= 0.8,$S$8, E293&gt;= 0.75,$S$9, E293 &gt;= 0.7, $S$10, E293&gt;= 0.65, $S$11, E293&gt;= 0.6, $S$12, E293&gt;= 0.55,$S$13, E293 &gt;= 0.5,$S$14)</f>
        <v>0.6875</v>
      </c>
    </row>
    <row r="260" spans="1:15" ht="24" x14ac:dyDescent="0.25">
      <c r="A260" t="s">
        <v>171</v>
      </c>
      <c r="B260" t="s">
        <v>172</v>
      </c>
      <c r="C260">
        <v>-3.5</v>
      </c>
      <c r="D260" s="33" t="b">
        <v>1</v>
      </c>
      <c r="E260">
        <v>0.59499999999999997</v>
      </c>
      <c r="F260">
        <v>111.5</v>
      </c>
      <c r="G260">
        <v>95.2</v>
      </c>
      <c r="H260">
        <v>64.3</v>
      </c>
      <c r="I260">
        <v>111.6</v>
      </c>
      <c r="J260">
        <v>96.6</v>
      </c>
      <c r="K260">
        <v>65.5</v>
      </c>
      <c r="L260">
        <v>1.24</v>
      </c>
      <c r="M260" t="s">
        <v>18</v>
      </c>
      <c r="N260" s="20">
        <v>45707</v>
      </c>
      <c r="O260" s="8" cm="1">
        <f t="array" ref="O260">_xlfn.IFS(E294&gt;=0.99,$S$3, E294&gt;=0.95,$S$4, E294&gt;= 0.93, $S$5, E294&gt;= 0.9,$S$6, E294&gt;= 0.85,$S$7, E294&gt;= 0.8,$S$8, E294&gt;= 0.75,$S$9, E294 &gt;= 0.7, $S$10, E294&gt;= 0.65, $S$11, E294&gt;= 0.6, $S$12, E294&gt;= 0.55,$S$13, E294 &gt;= 0.5,$S$14)</f>
        <v>0.6875</v>
      </c>
    </row>
    <row r="261" spans="1:15" ht="24" x14ac:dyDescent="0.25">
      <c r="A261" t="s">
        <v>113</v>
      </c>
      <c r="B261" t="s">
        <v>173</v>
      </c>
      <c r="C261">
        <v>-1</v>
      </c>
      <c r="D261" s="33" t="b">
        <v>1</v>
      </c>
      <c r="E261">
        <v>0.53</v>
      </c>
      <c r="F261">
        <v>123.9</v>
      </c>
      <c r="G261">
        <v>98.7</v>
      </c>
      <c r="H261">
        <v>67.7</v>
      </c>
      <c r="I261">
        <v>127.1</v>
      </c>
      <c r="J261">
        <v>98.5</v>
      </c>
      <c r="K261">
        <v>74.400000000000006</v>
      </c>
      <c r="L261">
        <v>-3.390000000000001</v>
      </c>
      <c r="M261" t="s">
        <v>15</v>
      </c>
      <c r="N261" s="20">
        <v>45707</v>
      </c>
      <c r="O261" s="8" cm="1">
        <f t="array" ref="O261">_xlfn.IFS(E295&gt;=0.99,$S$3, E295&gt;=0.95,$S$4, E295&gt;= 0.93, $S$5, E295&gt;= 0.9,$S$6, E295&gt;= 0.85,$S$7, E295&gt;= 0.8,$S$8, E295&gt;= 0.75,$S$9, E295 &gt;= 0.7, $S$10, E295&gt;= 0.65, $S$11, E295&gt;= 0.6, $S$12, E295&gt;= 0.55,$S$13, E295 &gt;= 0.5,$S$14)</f>
        <v>0.3</v>
      </c>
    </row>
    <row r="262" spans="1:15" ht="24" x14ac:dyDescent="0.25">
      <c r="A262" t="s">
        <v>130</v>
      </c>
      <c r="B262" t="s">
        <v>104</v>
      </c>
      <c r="C262">
        <v>-18.5</v>
      </c>
      <c r="D262" s="33" t="b">
        <v>1</v>
      </c>
      <c r="E262">
        <v>1</v>
      </c>
      <c r="F262">
        <v>118</v>
      </c>
      <c r="G262">
        <v>95.5</v>
      </c>
      <c r="H262">
        <v>67.599999999999994</v>
      </c>
      <c r="I262">
        <v>101.1</v>
      </c>
      <c r="J262">
        <v>104.2</v>
      </c>
      <c r="K262">
        <v>64</v>
      </c>
      <c r="L262">
        <v>25.64</v>
      </c>
      <c r="M262" t="s">
        <v>15</v>
      </c>
      <c r="N262" s="20">
        <v>45706</v>
      </c>
      <c r="O262" s="8" cm="1">
        <f t="array" ref="O262">_xlfn.IFS(E296&gt;=0.99,$S$3, E296&gt;=0.95,$S$4, E296&gt;= 0.93, $S$5, E296&gt;= 0.9,$S$6, E296&gt;= 0.85,$S$7, E296&gt;= 0.8,$S$8, E296&gt;= 0.75,$S$9, E296 &gt;= 0.7, $S$10, E296&gt;= 0.65, $S$11, E296&gt;= 0.6, $S$12, E296&gt;= 0.55,$S$13, E296 &gt;= 0.5,$S$14)</f>
        <v>0.3</v>
      </c>
    </row>
    <row r="263" spans="1:15" ht="24" x14ac:dyDescent="0.25">
      <c r="A263" t="s">
        <v>146</v>
      </c>
      <c r="B263" t="s">
        <v>147</v>
      </c>
      <c r="C263">
        <v>-18.5</v>
      </c>
      <c r="D263" s="33" t="b">
        <v>1</v>
      </c>
      <c r="E263">
        <v>1</v>
      </c>
      <c r="F263">
        <v>109.7</v>
      </c>
      <c r="G263">
        <v>93.1</v>
      </c>
      <c r="H263">
        <v>66.2</v>
      </c>
      <c r="I263">
        <v>101.1</v>
      </c>
      <c r="J263">
        <v>108.5</v>
      </c>
      <c r="K263">
        <v>71.599999999999994</v>
      </c>
      <c r="L263">
        <v>24.05</v>
      </c>
      <c r="M263" t="s">
        <v>15</v>
      </c>
      <c r="N263" s="20">
        <v>45706</v>
      </c>
      <c r="O263" s="8" cm="1">
        <f t="array" ref="O263">_xlfn.IFS(E297&gt;=0.99,$S$3, E297&gt;=0.95,$S$4, E297&gt;= 0.93, $S$5, E297&gt;= 0.9,$S$6, E297&gt;= 0.85,$S$7, E297&gt;= 0.8,$S$8, E297&gt;= 0.75,$S$9, E297 &gt;= 0.7, $S$10, E297&gt;= 0.65, $S$11, E297&gt;= 0.6, $S$12, E297&gt;= 0.55,$S$13, E297 &gt;= 0.5,$S$14)</f>
        <v>0.47222222222222221</v>
      </c>
    </row>
    <row r="264" spans="1:15" ht="24" x14ac:dyDescent="0.25">
      <c r="A264" t="s">
        <v>109</v>
      </c>
      <c r="B264" t="s">
        <v>123</v>
      </c>
      <c r="C264">
        <v>-10.5</v>
      </c>
      <c r="D264" s="33" t="b">
        <v>1</v>
      </c>
      <c r="E264">
        <v>0.995</v>
      </c>
      <c r="F264">
        <v>118</v>
      </c>
      <c r="G264">
        <v>102.5</v>
      </c>
      <c r="H264">
        <v>66.400000000000006</v>
      </c>
      <c r="I264">
        <v>110.3</v>
      </c>
      <c r="J264">
        <v>107.3</v>
      </c>
      <c r="K264">
        <v>68.599999999999994</v>
      </c>
      <c r="L264">
        <v>12.62</v>
      </c>
      <c r="M264" t="s">
        <v>15</v>
      </c>
      <c r="N264" s="20">
        <v>45706</v>
      </c>
      <c r="O264" s="8" cm="1">
        <f t="array" ref="O264">_xlfn.IFS(E298&gt;=0.99,$S$3, E298&gt;=0.95,$S$4, E298&gt;= 0.93, $S$5, E298&gt;= 0.9,$S$6, E298&gt;= 0.85,$S$7, E298&gt;= 0.8,$S$8, E298&gt;= 0.75,$S$9, E298 &gt;= 0.7, $S$10, E298&gt;= 0.65, $S$11, E298&gt;= 0.6, $S$12, E298&gt;= 0.55,$S$13, E298 &gt;= 0.5,$S$14)</f>
        <v>0.47222222222222221</v>
      </c>
    </row>
    <row r="265" spans="1:15" ht="24" x14ac:dyDescent="0.25">
      <c r="A265" t="s">
        <v>79</v>
      </c>
      <c r="B265" t="s">
        <v>43</v>
      </c>
      <c r="C265">
        <v>-6.5</v>
      </c>
      <c r="D265" s="33" t="b">
        <v>1</v>
      </c>
      <c r="E265">
        <v>0.995</v>
      </c>
      <c r="F265">
        <v>115.8</v>
      </c>
      <c r="G265">
        <v>100.6</v>
      </c>
      <c r="H265">
        <v>68.7</v>
      </c>
      <c r="I265">
        <v>117.5</v>
      </c>
      <c r="J265">
        <v>106.1</v>
      </c>
      <c r="K265">
        <v>67.5</v>
      </c>
      <c r="L265">
        <v>3.8600000000000012</v>
      </c>
      <c r="M265" t="s">
        <v>15</v>
      </c>
      <c r="N265" s="20">
        <v>45706</v>
      </c>
      <c r="O265" s="8" cm="1">
        <f t="array" ref="O265">_xlfn.IFS(E299&gt;=0.99,$S$3, E299&gt;=0.95,$S$4, E299&gt;= 0.93, $S$5, E299&gt;= 0.9,$S$6, E299&gt;= 0.85,$S$7, E299&gt;= 0.8,$S$8, E299&gt;= 0.75,$S$9, E299 &gt;= 0.7, $S$10, E299&gt;= 0.65, $S$11, E299&gt;= 0.6, $S$12, E299&gt;= 0.55,$S$13, E299 &gt;= 0.5,$S$14)</f>
        <v>0.47222222222222221</v>
      </c>
    </row>
    <row r="266" spans="1:15" ht="24" x14ac:dyDescent="0.25">
      <c r="A266" t="s">
        <v>131</v>
      </c>
      <c r="B266" t="s">
        <v>132</v>
      </c>
      <c r="C266">
        <v>-9.5</v>
      </c>
      <c r="D266" s="33" t="b">
        <v>1</v>
      </c>
      <c r="E266">
        <v>0.96499999999999997</v>
      </c>
      <c r="F266">
        <v>104.5</v>
      </c>
      <c r="G266">
        <v>105.4</v>
      </c>
      <c r="H266">
        <v>64.400000000000006</v>
      </c>
      <c r="I266">
        <v>100.4</v>
      </c>
      <c r="J266">
        <v>112.9</v>
      </c>
      <c r="K266">
        <v>64.2</v>
      </c>
      <c r="L266">
        <v>11.62</v>
      </c>
      <c r="M266" t="s">
        <v>18</v>
      </c>
      <c r="N266" s="20">
        <v>45706</v>
      </c>
      <c r="O266" s="8" cm="1">
        <f t="array" ref="O266">_xlfn.IFS(E300&gt;=0.99,$S$3, E300&gt;=0.95,$S$4, E300&gt;= 0.93, $S$5, E300&gt;= 0.9,$S$6, E300&gt;= 0.85,$S$7, E300&gt;= 0.8,$S$8, E300&gt;= 0.75,$S$9, E300 &gt;= 0.7, $S$10, E300&gt;= 0.65, $S$11, E300&gt;= 0.6, $S$12, E300&gt;= 0.55,$S$13, E300 &gt;= 0.5,$S$14)</f>
        <v>0.47222222222222221</v>
      </c>
    </row>
    <row r="267" spans="1:15" ht="24" x14ac:dyDescent="0.25">
      <c r="A267" t="s">
        <v>54</v>
      </c>
      <c r="B267" t="s">
        <v>127</v>
      </c>
      <c r="C267">
        <v>-14</v>
      </c>
      <c r="D267" s="33" t="b">
        <v>1</v>
      </c>
      <c r="E267">
        <v>0.93500000000000005</v>
      </c>
      <c r="F267">
        <v>126.6</v>
      </c>
      <c r="G267">
        <v>93.6</v>
      </c>
      <c r="H267">
        <v>69.2</v>
      </c>
      <c r="I267">
        <v>118.1</v>
      </c>
      <c r="J267">
        <v>101.7</v>
      </c>
      <c r="K267">
        <v>68.3</v>
      </c>
      <c r="L267">
        <v>16.670000000000002</v>
      </c>
      <c r="M267" t="s">
        <v>15</v>
      </c>
      <c r="N267" s="20">
        <v>45706</v>
      </c>
      <c r="O267" s="8" cm="1">
        <f t="array" ref="O267">_xlfn.IFS(E301&gt;=0.99,$S$3, E301&gt;=0.95,$S$4, E301&gt;= 0.93, $S$5, E301&gt;= 0.9,$S$6, E301&gt;= 0.85,$S$7, E301&gt;= 0.8,$S$8, E301&gt;= 0.75,$S$9, E301 &gt;= 0.7, $S$10, E301&gt;= 0.65, $S$11, E301&gt;= 0.6, $S$12, E301&gt;= 0.55,$S$13, E301 &gt;= 0.5,$S$14)</f>
        <v>0.47222222222222221</v>
      </c>
    </row>
    <row r="268" spans="1:15" ht="24" x14ac:dyDescent="0.25">
      <c r="A268" t="s">
        <v>59</v>
      </c>
      <c r="B268" t="s">
        <v>133</v>
      </c>
      <c r="C268">
        <v>-11.5</v>
      </c>
      <c r="D268" s="33" t="b">
        <v>1</v>
      </c>
      <c r="E268">
        <v>0.93</v>
      </c>
      <c r="F268">
        <v>117.4</v>
      </c>
      <c r="G268">
        <v>94.7</v>
      </c>
      <c r="H268">
        <v>64.8</v>
      </c>
      <c r="I268">
        <v>111.6</v>
      </c>
      <c r="J268">
        <v>103.3</v>
      </c>
      <c r="K268">
        <v>62.1</v>
      </c>
      <c r="L268">
        <v>14.31</v>
      </c>
      <c r="M268" t="s">
        <v>18</v>
      </c>
      <c r="N268" s="20">
        <v>45706</v>
      </c>
      <c r="O268" s="8" cm="1">
        <f t="array" ref="O268">_xlfn.IFS(E302&gt;=0.99,$S$3, E302&gt;=0.95,$S$4, E302&gt;= 0.93, $S$5, E302&gt;= 0.9,$S$6, E302&gt;= 0.85,$S$7, E302&gt;= 0.8,$S$8, E302&gt;= 0.75,$S$9, E302 &gt;= 0.7, $S$10, E302&gt;= 0.65, $S$11, E302&gt;= 0.6, $S$12, E302&gt;= 0.55,$S$13, E302 &gt;= 0.5,$S$14)</f>
        <v>0.61538461538461542</v>
      </c>
    </row>
    <row r="269" spans="1:15" ht="24" x14ac:dyDescent="0.25">
      <c r="A269" t="s">
        <v>81</v>
      </c>
      <c r="B269" t="s">
        <v>148</v>
      </c>
      <c r="C269">
        <v>-18</v>
      </c>
      <c r="D269" s="33" t="b">
        <v>1</v>
      </c>
      <c r="E269">
        <v>0.92500000000000004</v>
      </c>
      <c r="F269">
        <v>120.6</v>
      </c>
      <c r="G269">
        <v>93.5</v>
      </c>
      <c r="H269">
        <v>68.8</v>
      </c>
      <c r="I269">
        <v>108.4</v>
      </c>
      <c r="J269">
        <v>101.8</v>
      </c>
      <c r="K269">
        <v>67.2</v>
      </c>
      <c r="L269">
        <v>20.56</v>
      </c>
      <c r="M269" t="s">
        <v>15</v>
      </c>
      <c r="N269" s="20">
        <v>45706</v>
      </c>
      <c r="O269" s="8" cm="1">
        <f t="array" ref="O269">_xlfn.IFS(E303&gt;=0.99,$S$3, E303&gt;=0.95,$S$4, E303&gt;= 0.93, $S$5, E303&gt;= 0.9,$S$6, E303&gt;= 0.85,$S$7, E303&gt;= 0.8,$S$8, E303&gt;= 0.75,$S$9, E303 &gt;= 0.7, $S$10, E303&gt;= 0.65, $S$11, E303&gt;= 0.6, $S$12, E303&gt;= 0.55,$S$13, E303 &gt;= 0.5,$S$14)</f>
        <v>0.45</v>
      </c>
    </row>
    <row r="270" spans="1:15" ht="24" x14ac:dyDescent="0.25">
      <c r="A270" t="s">
        <v>149</v>
      </c>
      <c r="B270" t="s">
        <v>150</v>
      </c>
      <c r="C270">
        <v>-8</v>
      </c>
      <c r="D270" s="33" t="b">
        <v>1</v>
      </c>
      <c r="E270">
        <v>0.9</v>
      </c>
      <c r="F270">
        <v>112.8</v>
      </c>
      <c r="G270">
        <v>116.7</v>
      </c>
      <c r="H270">
        <v>68.7</v>
      </c>
      <c r="I270">
        <v>106.4</v>
      </c>
      <c r="J270">
        <v>115.7</v>
      </c>
      <c r="K270">
        <v>66.400000000000006</v>
      </c>
      <c r="L270">
        <v>5.42</v>
      </c>
      <c r="M270" t="s">
        <v>18</v>
      </c>
      <c r="N270" s="20">
        <v>45706</v>
      </c>
      <c r="O270" s="8" cm="1">
        <f t="array" ref="O270">_xlfn.IFS(E304&gt;=0.99,$S$3, E304&gt;=0.95,$S$4, E304&gt;= 0.93, $S$5, E304&gt;= 0.9,$S$6, E304&gt;= 0.85,$S$7, E304&gt;= 0.8,$S$8, E304&gt;= 0.75,$S$9, E304 &gt;= 0.7, $S$10, E304&gt;= 0.65, $S$11, E304&gt;= 0.6, $S$12, E304&gt;= 0.55,$S$13, E304 &gt;= 0.5,$S$14)</f>
        <v>0.45</v>
      </c>
    </row>
    <row r="271" spans="1:15" ht="24" x14ac:dyDescent="0.25">
      <c r="A271" t="s">
        <v>129</v>
      </c>
      <c r="B271" t="s">
        <v>103</v>
      </c>
      <c r="C271">
        <v>-9</v>
      </c>
      <c r="D271" s="33" t="b">
        <v>1</v>
      </c>
      <c r="E271">
        <v>0.89500000000000002</v>
      </c>
      <c r="F271">
        <v>121.7</v>
      </c>
      <c r="G271">
        <v>103.7</v>
      </c>
      <c r="H271">
        <v>64.099999999999994</v>
      </c>
      <c r="I271">
        <v>120.3</v>
      </c>
      <c r="J271">
        <v>106.1</v>
      </c>
      <c r="K271">
        <v>63.2</v>
      </c>
      <c r="L271">
        <v>3.739999999999998</v>
      </c>
      <c r="M271" t="s">
        <v>18</v>
      </c>
      <c r="N271" s="20">
        <v>45706</v>
      </c>
      <c r="O271" s="8" cm="1">
        <f t="array" ref="O271">_xlfn.IFS(E305&gt;=0.99,$S$3, E305&gt;=0.95,$S$4, E305&gt;= 0.93, $S$5, E305&gt;= 0.9,$S$6, E305&gt;= 0.85,$S$7, E305&gt;= 0.8,$S$8, E305&gt;= 0.75,$S$9, E305 &gt;= 0.7, $S$10, E305&gt;= 0.65, $S$11, E305&gt;= 0.6, $S$12, E305&gt;= 0.55,$S$13, E305 &gt;= 0.5,$S$14)</f>
        <v>0.45</v>
      </c>
    </row>
    <row r="272" spans="1:15" ht="24" x14ac:dyDescent="0.25">
      <c r="A272" t="s">
        <v>134</v>
      </c>
      <c r="B272" t="s">
        <v>66</v>
      </c>
      <c r="C272">
        <v>-4</v>
      </c>
      <c r="D272" s="33" t="b">
        <v>1</v>
      </c>
      <c r="E272">
        <v>0.88</v>
      </c>
      <c r="F272">
        <v>125.5</v>
      </c>
      <c r="G272">
        <v>98.7</v>
      </c>
      <c r="H272">
        <v>67.3</v>
      </c>
      <c r="I272">
        <v>121.3</v>
      </c>
      <c r="J272">
        <v>97.1</v>
      </c>
      <c r="K272">
        <v>71.8</v>
      </c>
      <c r="L272">
        <v>2.59</v>
      </c>
      <c r="M272" t="s">
        <v>15</v>
      </c>
      <c r="N272" s="20">
        <v>45706</v>
      </c>
      <c r="O272" s="8" cm="1">
        <f t="array" ref="O272">_xlfn.IFS(E306&gt;=0.99,$S$3, E306&gt;=0.95,$S$4, E306&gt;= 0.93, $S$5, E306&gt;= 0.9,$S$6, E306&gt;= 0.85,$S$7, E306&gt;= 0.8,$S$8, E306&gt;= 0.75,$S$9, E306 &gt;= 0.7, $S$10, E306&gt;= 0.65, $S$11, E306&gt;= 0.6, $S$12, E306&gt;= 0.55,$S$13, E306 &gt;= 0.5,$S$14)</f>
        <v>0.72727272727272729</v>
      </c>
    </row>
    <row r="273" spans="1:15" ht="24" x14ac:dyDescent="0.25">
      <c r="A273" t="s">
        <v>126</v>
      </c>
      <c r="B273" t="s">
        <v>125</v>
      </c>
      <c r="C273">
        <v>-3</v>
      </c>
      <c r="D273" s="33" t="b">
        <v>1</v>
      </c>
      <c r="E273">
        <v>0.72</v>
      </c>
      <c r="F273">
        <v>121.1</v>
      </c>
      <c r="G273">
        <v>102.1</v>
      </c>
      <c r="H273">
        <v>66.8</v>
      </c>
      <c r="I273">
        <v>116.7</v>
      </c>
      <c r="J273">
        <v>91.8</v>
      </c>
      <c r="K273">
        <v>68.400000000000006</v>
      </c>
      <c r="L273">
        <v>-5.9699999999999989</v>
      </c>
      <c r="M273" t="s">
        <v>15</v>
      </c>
      <c r="N273" s="20">
        <v>45706</v>
      </c>
      <c r="O273" s="8" cm="1">
        <f t="array" ref="O273">_xlfn.IFS(E307&gt;=0.99,$S$3, E307&gt;=0.95,$S$4, E307&gt;= 0.93, $S$5, E307&gt;= 0.9,$S$6, E307&gt;= 0.85,$S$7, E307&gt;= 0.8,$S$8, E307&gt;= 0.75,$S$9, E307 &gt;= 0.7, $S$10, E307&gt;= 0.65, $S$11, E307&gt;= 0.6, $S$12, E307&gt;= 0.55,$S$13, E307 &gt;= 0.5,$S$14)</f>
        <v>0.72727272727272729</v>
      </c>
    </row>
    <row r="274" spans="1:15" ht="24" x14ac:dyDescent="0.25">
      <c r="A274" t="s">
        <v>67</v>
      </c>
      <c r="B274" t="s">
        <v>151</v>
      </c>
      <c r="C274">
        <v>-3</v>
      </c>
      <c r="D274" s="33" t="b">
        <v>1</v>
      </c>
      <c r="E274">
        <v>0.71499999999999997</v>
      </c>
      <c r="F274">
        <v>119.1</v>
      </c>
      <c r="G274">
        <v>94.4</v>
      </c>
      <c r="H274">
        <v>67.900000000000006</v>
      </c>
      <c r="I274">
        <v>124.9</v>
      </c>
      <c r="J274">
        <v>98.6</v>
      </c>
      <c r="K274">
        <v>65.599999999999994</v>
      </c>
      <c r="L274">
        <v>-1.600000000000001</v>
      </c>
      <c r="M274" t="s">
        <v>15</v>
      </c>
      <c r="N274" s="20">
        <v>45706</v>
      </c>
      <c r="O274" s="8" cm="1">
        <f t="array" ref="O274">_xlfn.IFS(E308&gt;=0.99,$S$3, E308&gt;=0.95,$S$4, E308&gt;= 0.93, $S$5, E308&gt;= 0.9,$S$6, E308&gt;= 0.85,$S$7, E308&gt;= 0.8,$S$8, E308&gt;= 0.75,$S$9, E308 &gt;= 0.7, $S$10, E308&gt;= 0.65, $S$11, E308&gt;= 0.6, $S$12, E308&gt;= 0.55,$S$13, E308 &gt;= 0.5,$S$14)</f>
        <v>0.72727272727272729</v>
      </c>
    </row>
    <row r="275" spans="1:15" ht="24" x14ac:dyDescent="0.25">
      <c r="A275" t="s">
        <v>121</v>
      </c>
      <c r="B275" t="s">
        <v>152</v>
      </c>
      <c r="C275">
        <v>-3.5</v>
      </c>
      <c r="D275" s="33" t="b">
        <v>1</v>
      </c>
      <c r="E275">
        <v>0.71499999999999997</v>
      </c>
      <c r="F275">
        <v>114.7</v>
      </c>
      <c r="G275">
        <v>103.1</v>
      </c>
      <c r="H275">
        <v>66</v>
      </c>
      <c r="I275">
        <v>114.2</v>
      </c>
      <c r="J275">
        <v>103.2</v>
      </c>
      <c r="K275">
        <v>63.3</v>
      </c>
      <c r="L275">
        <v>0.6899999999999995</v>
      </c>
      <c r="M275" t="s">
        <v>15</v>
      </c>
      <c r="N275" s="20">
        <v>45706</v>
      </c>
      <c r="O275" s="8" cm="1">
        <f t="array" ref="O275">_xlfn.IFS(E309&gt;=0.99,$S$3, E309&gt;=0.95,$S$4, E309&gt;= 0.93, $S$5, E309&gt;= 0.9,$S$6, E309&gt;= 0.85,$S$7, E309&gt;= 0.8,$S$8, E309&gt;= 0.75,$S$9, E309 &gt;= 0.7, $S$10, E309&gt;= 0.65, $S$11, E309&gt;= 0.6, $S$12, E309&gt;= 0.55,$S$13, E309 &gt;= 0.5,$S$14)</f>
        <v>0.72727272727272729</v>
      </c>
    </row>
    <row r="276" spans="1:15" ht="24" x14ac:dyDescent="0.25">
      <c r="A276" t="s">
        <v>153</v>
      </c>
      <c r="B276" t="s">
        <v>53</v>
      </c>
      <c r="C276">
        <v>-2.5</v>
      </c>
      <c r="D276" s="33" t="b">
        <v>1</v>
      </c>
      <c r="E276">
        <v>0.56000000000000005</v>
      </c>
      <c r="F276">
        <v>110.7</v>
      </c>
      <c r="G276">
        <v>100.6</v>
      </c>
      <c r="H276">
        <v>68.5</v>
      </c>
      <c r="I276">
        <v>109.7</v>
      </c>
      <c r="J276">
        <v>99.3</v>
      </c>
      <c r="K276">
        <v>65.099999999999994</v>
      </c>
      <c r="L276">
        <v>-0.22999999999999859</v>
      </c>
      <c r="M276" t="s">
        <v>15</v>
      </c>
      <c r="N276" s="20">
        <v>45706</v>
      </c>
      <c r="O276" s="8" cm="1">
        <f t="array" ref="O276">_xlfn.IFS(E310&gt;=0.99,$S$3, E310&gt;=0.95,$S$4, E310&gt;= 0.93, $S$5, E310&gt;= 0.9,$S$6, E310&gt;= 0.85,$S$7, E310&gt;= 0.8,$S$8, E310&gt;= 0.75,$S$9, E310 &gt;= 0.7, $S$10, E310&gt;= 0.65, $S$11, E310&gt;= 0.6, $S$12, E310&gt;= 0.55,$S$13, E310 &gt;= 0.5,$S$14)</f>
        <v>0.47619047619047616</v>
      </c>
    </row>
    <row r="277" spans="1:15" ht="24" x14ac:dyDescent="0.25">
      <c r="A277" t="s">
        <v>13</v>
      </c>
      <c r="B277" t="s">
        <v>14</v>
      </c>
      <c r="C277">
        <v>-6.5</v>
      </c>
      <c r="D277" s="33" t="b">
        <v>1</v>
      </c>
      <c r="E277">
        <v>0.81200000000000006</v>
      </c>
      <c r="F277">
        <v>101.7</v>
      </c>
      <c r="G277">
        <v>108.3</v>
      </c>
      <c r="H277">
        <v>67.5</v>
      </c>
      <c r="I277">
        <v>101.5</v>
      </c>
      <c r="J277">
        <v>110.9</v>
      </c>
      <c r="K277">
        <v>67.099999999999994</v>
      </c>
      <c r="L277">
        <v>2.81</v>
      </c>
      <c r="M277" t="s">
        <v>15</v>
      </c>
      <c r="N277" s="20">
        <v>45705</v>
      </c>
      <c r="O277" s="8" cm="1">
        <f t="array" ref="O277">_xlfn.IFS(E311&gt;=0.99,$S$3, E311&gt;=0.95,$S$4, E311&gt;= 0.93, $S$5, E311&gt;= 0.9,$S$6, E311&gt;= 0.85,$S$7, E311&gt;= 0.8,$S$8, E311&gt;= 0.75,$S$9, E311 &gt;= 0.7, $S$10, E311&gt;= 0.65, $S$11, E311&gt;= 0.6, $S$12, E311&gt;= 0.55,$S$13, E311 &gt;= 0.5,$S$14)</f>
        <v>0.47619047619047616</v>
      </c>
    </row>
    <row r="278" spans="1:15" ht="24" x14ac:dyDescent="0.25">
      <c r="A278" t="s">
        <v>16</v>
      </c>
      <c r="B278" t="s">
        <v>17</v>
      </c>
      <c r="C278">
        <v>-1.5</v>
      </c>
      <c r="D278" s="33" t="b">
        <v>1</v>
      </c>
      <c r="E278">
        <v>0.65</v>
      </c>
      <c r="F278">
        <v>123.5</v>
      </c>
      <c r="G278">
        <v>101.7</v>
      </c>
      <c r="H278">
        <v>64.7</v>
      </c>
      <c r="I278">
        <v>120.4</v>
      </c>
      <c r="J278">
        <v>94.9</v>
      </c>
      <c r="K278">
        <v>70.3</v>
      </c>
      <c r="L278">
        <v>-3.739999999999998</v>
      </c>
      <c r="M278" t="s">
        <v>18</v>
      </c>
      <c r="N278" s="20">
        <v>45705</v>
      </c>
      <c r="O278" s="8" cm="1">
        <f t="array" ref="O278">_xlfn.IFS(E312&gt;=0.99,$S$3, E312&gt;=0.95,$S$4, E312&gt;= 0.93, $S$5, E312&gt;= 0.9,$S$6, E312&gt;= 0.85,$S$7, E312&gt;= 0.8,$S$8, E312&gt;= 0.75,$S$9, E312 &gt;= 0.7, $S$10, E312&gt;= 0.65, $S$11, E312&gt;= 0.6, $S$12, E312&gt;= 0.55,$S$13, E312 &gt;= 0.5,$S$14)</f>
        <v>0.47619047619047616</v>
      </c>
    </row>
    <row r="279" spans="1:15" ht="24" x14ac:dyDescent="0.25">
      <c r="A279" s="2" t="s">
        <v>20</v>
      </c>
      <c r="B279" s="2" t="s">
        <v>21</v>
      </c>
      <c r="C279" s="2">
        <v>-17.5</v>
      </c>
      <c r="D279" s="34" t="b">
        <v>1</v>
      </c>
      <c r="E279" s="2">
        <v>0.998</v>
      </c>
      <c r="F279" s="2">
        <v>111.8</v>
      </c>
      <c r="G279" s="2">
        <v>96</v>
      </c>
      <c r="H279" s="2">
        <v>103.5</v>
      </c>
      <c r="I279" s="2">
        <v>100.2</v>
      </c>
      <c r="J279" s="2">
        <v>309</v>
      </c>
      <c r="K279" s="2">
        <v>118.6</v>
      </c>
      <c r="L279" s="2">
        <v>26.63</v>
      </c>
      <c r="M279" s="2" t="s">
        <v>15</v>
      </c>
      <c r="N279" s="20">
        <v>45701</v>
      </c>
      <c r="O279" s="8" cm="1">
        <f t="array" ref="O279">_xlfn.IFS(E313&gt;=0.99,$S$3, E313&gt;=0.95,$S$4, E313&gt;= 0.93, $S$5, E313&gt;= 0.9,$S$6, E313&gt;= 0.85,$S$7, E313&gt;= 0.8,$S$8, E313&gt;= 0.75,$S$9, E313 &gt;= 0.7, $S$10, E313&gt;= 0.65, $S$11, E313&gt;= 0.6, $S$12, E313&gt;= 0.55,$S$13, E313 &gt;= 0.5,$S$14)</f>
        <v>0.47619047619047616</v>
      </c>
    </row>
    <row r="280" spans="1:15" ht="24" x14ac:dyDescent="0.25">
      <c r="A280" s="2" t="s">
        <v>22</v>
      </c>
      <c r="B280" s="2" t="s">
        <v>23</v>
      </c>
      <c r="C280" s="2">
        <v>-10.5</v>
      </c>
      <c r="D280" s="34" t="b">
        <v>1</v>
      </c>
      <c r="E280" s="2">
        <v>0.96599999999999997</v>
      </c>
      <c r="F280" s="2">
        <v>118.6</v>
      </c>
      <c r="G280" s="2">
        <v>26</v>
      </c>
      <c r="H280" s="2">
        <v>111.8</v>
      </c>
      <c r="I280" s="2">
        <v>108.2</v>
      </c>
      <c r="J280" s="2">
        <v>158</v>
      </c>
      <c r="K280" s="2">
        <v>109.5</v>
      </c>
      <c r="L280" s="2">
        <v>8.11</v>
      </c>
      <c r="M280" s="2" t="s">
        <v>15</v>
      </c>
      <c r="N280" s="20">
        <v>45701</v>
      </c>
      <c r="O280" s="8" cm="1">
        <f t="array" ref="O280">_xlfn.IFS(E314&gt;=0.99,$S$3, E314&gt;=0.95,$S$4, E314&gt;= 0.93, $S$5, E314&gt;= 0.9,$S$6, E314&gt;= 0.85,$S$7, E314&gt;= 0.8,$S$8, E314&gt;= 0.75,$S$9, E314 &gt;= 0.7, $S$10, E314&gt;= 0.65, $S$11, E314&gt;= 0.6, $S$12, E314&gt;= 0.55,$S$13, E314 &gt;= 0.5,$S$14)</f>
        <v>0.47619047619047616</v>
      </c>
    </row>
    <row r="281" spans="1:15" ht="24" x14ac:dyDescent="0.25">
      <c r="A281" s="2" t="s">
        <v>24</v>
      </c>
      <c r="B281" s="2" t="s">
        <v>25</v>
      </c>
      <c r="C281" s="2">
        <v>-8.5</v>
      </c>
      <c r="D281" s="34" t="b">
        <v>1</v>
      </c>
      <c r="E281" s="2">
        <v>0.94799999999999995</v>
      </c>
      <c r="F281" s="2">
        <v>109.8</v>
      </c>
      <c r="G281" s="2">
        <v>126</v>
      </c>
      <c r="H281" s="2">
        <v>118.6</v>
      </c>
      <c r="I281" s="2">
        <v>99.4</v>
      </c>
      <c r="J281" s="2">
        <v>323</v>
      </c>
      <c r="K281" s="2">
        <v>115.7</v>
      </c>
      <c r="L281" s="2">
        <v>7.56</v>
      </c>
      <c r="M281" s="2" t="s">
        <v>18</v>
      </c>
      <c r="N281" s="20">
        <v>45701</v>
      </c>
      <c r="O281" s="8" cm="1">
        <f t="array" ref="O281">_xlfn.IFS(E315&gt;=0.99,$S$3, E315&gt;=0.95,$S$4, E315&gt;= 0.93, $S$5, E315&gt;= 0.9,$S$6, E315&gt;= 0.85,$S$7, E315&gt;= 0.8,$S$8, E315&gt;= 0.75,$S$9, E315 &gt;= 0.7, $S$10, E315&gt;= 0.65, $S$11, E315&gt;= 0.6, $S$12, E315&gt;= 0.55,$S$13, E315 &gt;= 0.5,$S$14)</f>
        <v>0.75</v>
      </c>
    </row>
    <row r="282" spans="1:15" ht="24" x14ac:dyDescent="0.25">
      <c r="A282" s="2" t="s">
        <v>26</v>
      </c>
      <c r="B282" s="2" t="s">
        <v>27</v>
      </c>
      <c r="C282" s="2">
        <v>-18.5</v>
      </c>
      <c r="D282" s="34" t="b">
        <v>1</v>
      </c>
      <c r="E282" s="2">
        <v>0.93799999999999994</v>
      </c>
      <c r="F282" s="2">
        <v>108.8</v>
      </c>
      <c r="G282" s="2">
        <v>147</v>
      </c>
      <c r="H282" s="2">
        <v>107.9</v>
      </c>
      <c r="I282" s="2">
        <v>94.5</v>
      </c>
      <c r="J282" s="2">
        <v>358</v>
      </c>
      <c r="K282" s="2">
        <v>113.4</v>
      </c>
      <c r="L282" s="2">
        <v>19.68</v>
      </c>
      <c r="M282" s="2" t="s">
        <v>15</v>
      </c>
      <c r="N282" s="20">
        <v>45701</v>
      </c>
      <c r="O282" s="8" cm="1">
        <f t="array" ref="O282">_xlfn.IFS(E316&gt;=0.99,$S$3, E316&gt;=0.95,$S$4, E316&gt;= 0.93, $S$5, E316&gt;= 0.9,$S$6, E316&gt;= 0.85,$S$7, E316&gt;= 0.8,$S$8, E316&gt;= 0.75,$S$9, E316 &gt;= 0.7, $S$10, E316&gt;= 0.65, $S$11, E316&gt;= 0.6, $S$12, E316&gt;= 0.55,$S$13, E316 &gt;= 0.5,$S$14)</f>
        <v>0.75</v>
      </c>
    </row>
    <row r="283" spans="1:15" ht="24" x14ac:dyDescent="0.25">
      <c r="A283" s="2" t="s">
        <v>28</v>
      </c>
      <c r="B283" s="2" t="s">
        <v>29</v>
      </c>
      <c r="C283" s="2">
        <v>-8</v>
      </c>
      <c r="D283" s="34" t="b">
        <v>1</v>
      </c>
      <c r="E283" s="2">
        <v>0.89400000000000002</v>
      </c>
      <c r="F283" s="2">
        <v>104</v>
      </c>
      <c r="G283" s="2">
        <v>234</v>
      </c>
      <c r="H283" s="2">
        <v>109</v>
      </c>
      <c r="I283" s="2">
        <v>99.2</v>
      </c>
      <c r="J283" s="2">
        <v>324</v>
      </c>
      <c r="K283" s="2">
        <v>110.2</v>
      </c>
      <c r="L283" s="2">
        <v>5.92</v>
      </c>
      <c r="M283" s="2" t="s">
        <v>18</v>
      </c>
      <c r="N283" s="20">
        <v>45701</v>
      </c>
      <c r="O283" s="8" cm="1">
        <f t="array" ref="O283">_xlfn.IFS(E317&gt;=0.99,$S$3, E317&gt;=0.95,$S$4, E317&gt;= 0.93, $S$5, E317&gt;= 0.9,$S$6, E317&gt;= 0.85,$S$7, E317&gt;= 0.8,$S$8, E317&gt;= 0.75,$S$9, E317 &gt;= 0.7, $S$10, E317&gt;= 0.65, $S$11, E317&gt;= 0.6, $S$12, E317&gt;= 0.55,$S$13, E317 &gt;= 0.5,$S$14)</f>
        <v>0.75</v>
      </c>
    </row>
    <row r="284" spans="1:15" ht="24" x14ac:dyDescent="0.25">
      <c r="A284" s="2" t="s">
        <v>30</v>
      </c>
      <c r="B284" s="2" t="s">
        <v>31</v>
      </c>
      <c r="C284" s="2">
        <v>-14.5</v>
      </c>
      <c r="D284" s="34" t="b">
        <v>1</v>
      </c>
      <c r="E284" s="2">
        <v>0.89200000000000002</v>
      </c>
      <c r="F284" s="2">
        <v>124.3</v>
      </c>
      <c r="G284" s="2">
        <v>7</v>
      </c>
      <c r="H284" s="2">
        <v>98.5</v>
      </c>
      <c r="I284" s="2">
        <v>112.5</v>
      </c>
      <c r="J284" s="2">
        <v>87</v>
      </c>
      <c r="K284" s="2">
        <v>100.1</v>
      </c>
      <c r="L284" s="2">
        <v>13.49</v>
      </c>
      <c r="M284" s="2" t="s">
        <v>18</v>
      </c>
      <c r="N284" s="20">
        <v>45701</v>
      </c>
      <c r="O284" s="8" cm="1">
        <f t="array" ref="O284">_xlfn.IFS(E318&gt;=0.99,$S$3, E318&gt;=0.95,$S$4, E318&gt;= 0.93, $S$5, E318&gt;= 0.9,$S$6, E318&gt;= 0.85,$S$7, E318&gt;= 0.8,$S$8, E318&gt;= 0.75,$S$9, E318 &gt;= 0.7, $S$10, E318&gt;= 0.65, $S$11, E318&gt;= 0.6, $S$12, E318&gt;= 0.55,$S$13, E318 &gt;= 0.5,$S$14)</f>
        <v>0.56666666666666665</v>
      </c>
    </row>
    <row r="285" spans="1:15" ht="24" x14ac:dyDescent="0.25">
      <c r="A285" s="2" t="s">
        <v>32</v>
      </c>
      <c r="B285" s="2" t="s">
        <v>33</v>
      </c>
      <c r="C285" s="2">
        <v>-6</v>
      </c>
      <c r="D285" s="34" t="b">
        <v>1</v>
      </c>
      <c r="E285" s="2">
        <v>0.878</v>
      </c>
      <c r="F285" s="2">
        <v>105.1</v>
      </c>
      <c r="G285" s="2">
        <v>219</v>
      </c>
      <c r="H285" s="2">
        <v>105.5</v>
      </c>
      <c r="I285" s="2">
        <v>107.8</v>
      </c>
      <c r="J285" s="2">
        <v>162</v>
      </c>
      <c r="K285" s="2">
        <v>114.9</v>
      </c>
      <c r="L285" s="2">
        <v>6.79</v>
      </c>
      <c r="M285" s="2" t="s">
        <v>18</v>
      </c>
      <c r="N285" s="20">
        <v>45701</v>
      </c>
      <c r="O285" s="8" cm="1">
        <f t="array" ref="O285">_xlfn.IFS(E319&gt;=0.99,$S$3, E319&gt;=0.95,$S$4, E319&gt;= 0.93, $S$5, E319&gt;= 0.9,$S$6, E319&gt;= 0.85,$S$7, E319&gt;= 0.8,$S$8, E319&gt;= 0.75,$S$9, E319 &gt;= 0.7, $S$10, E319&gt;= 0.65, $S$11, E319&gt;= 0.6, $S$12, E319&gt;= 0.55,$S$13, E319 &gt;= 0.5,$S$14)</f>
        <v>0.56666666666666665</v>
      </c>
    </row>
    <row r="286" spans="1:15" ht="24" x14ac:dyDescent="0.25">
      <c r="A286" s="2" t="s">
        <v>34</v>
      </c>
      <c r="B286" s="2" t="s">
        <v>35</v>
      </c>
      <c r="C286" s="2">
        <v>-2</v>
      </c>
      <c r="D286" s="34" t="b">
        <v>1</v>
      </c>
      <c r="E286" s="2">
        <v>0.66600000000000004</v>
      </c>
      <c r="F286" s="2">
        <v>110.4</v>
      </c>
      <c r="G286" s="2">
        <v>114</v>
      </c>
      <c r="H286" s="2">
        <v>118</v>
      </c>
      <c r="I286" s="2">
        <v>102.3</v>
      </c>
      <c r="J286" s="2">
        <v>266</v>
      </c>
      <c r="K286" s="2">
        <v>108.4</v>
      </c>
      <c r="L286" s="2">
        <v>-1.47</v>
      </c>
      <c r="M286" s="2" t="s">
        <v>15</v>
      </c>
      <c r="N286" s="20">
        <v>45701</v>
      </c>
      <c r="O286" s="8" cm="1">
        <f t="array" ref="O286">_xlfn.IFS(E320&gt;=0.99,$S$3, E320&gt;=0.95,$S$4, E320&gt;= 0.93, $S$5, E320&gt;= 0.9,$S$6, E320&gt;= 0.85,$S$7, E320&gt;= 0.8,$S$8, E320&gt;= 0.75,$S$9, E320 &gt;= 0.7, $S$10, E320&gt;= 0.65, $S$11, E320&gt;= 0.6, $S$12, E320&gt;= 0.55,$S$13, E320 &gt;= 0.5,$S$14)</f>
        <v>0.56666666666666665</v>
      </c>
    </row>
    <row r="287" spans="1:15" ht="24" x14ac:dyDescent="0.25">
      <c r="A287" s="2" t="s">
        <v>36</v>
      </c>
      <c r="B287" s="2" t="s">
        <v>37</v>
      </c>
      <c r="C287" s="2">
        <v>-1</v>
      </c>
      <c r="D287" s="34" t="b">
        <v>1</v>
      </c>
      <c r="E287" s="2">
        <v>0.64800000000000002</v>
      </c>
      <c r="F287" s="2">
        <v>115.3</v>
      </c>
      <c r="G287" s="2">
        <v>60</v>
      </c>
      <c r="H287" s="2">
        <v>97.6</v>
      </c>
      <c r="I287" s="2">
        <v>119.4</v>
      </c>
      <c r="J287" s="2">
        <v>22</v>
      </c>
      <c r="K287" s="2">
        <v>95.5</v>
      </c>
      <c r="L287" s="2">
        <v>-6.22</v>
      </c>
      <c r="M287" s="2" t="s">
        <v>18</v>
      </c>
      <c r="N287" s="20">
        <v>45701</v>
      </c>
      <c r="O287" s="8" cm="1">
        <f t="array" ref="O287">_xlfn.IFS(E321&gt;=0.99,$S$3, E321&gt;=0.95,$S$4, E321&gt;= 0.93, $S$5, E321&gt;= 0.9,$S$6, E321&gt;= 0.85,$S$7, E321&gt;= 0.8,$S$8, E321&gt;= 0.75,$S$9, E321 &gt;= 0.7, $S$10, E321&gt;= 0.65, $S$11, E321&gt;= 0.6, $S$12, E321&gt;= 0.55,$S$13, E321 &gt;= 0.5,$S$14)</f>
        <v>0.5</v>
      </c>
    </row>
    <row r="288" spans="1:15" ht="24" x14ac:dyDescent="0.25">
      <c r="A288" s="2" t="s">
        <v>38</v>
      </c>
      <c r="B288" s="2" t="s">
        <v>39</v>
      </c>
      <c r="C288" s="2">
        <v>-2</v>
      </c>
      <c r="D288" s="34" t="b">
        <v>1</v>
      </c>
      <c r="E288" s="2">
        <v>0.54800000000000004</v>
      </c>
      <c r="F288" s="2">
        <v>100.6</v>
      </c>
      <c r="G288" s="2">
        <v>299</v>
      </c>
      <c r="H288" s="2">
        <v>120.6</v>
      </c>
      <c r="I288" s="2">
        <v>93.6</v>
      </c>
      <c r="J288" s="2">
        <v>361</v>
      </c>
      <c r="K288" s="2">
        <v>112.6</v>
      </c>
      <c r="L288" s="2">
        <v>-1.04</v>
      </c>
      <c r="M288" s="2" t="s">
        <v>15</v>
      </c>
      <c r="N288" s="20">
        <v>45701</v>
      </c>
      <c r="O288" s="8" cm="1">
        <f t="array" ref="O288">_xlfn.IFS(E322&gt;=0.99,$S$3, E322&gt;=0.95,$S$4, E322&gt;= 0.93, $S$5, E322&gt;= 0.9,$S$6, E322&gt;= 0.85,$S$7, E322&gt;= 0.8,$S$8, E322&gt;= 0.75,$S$9, E322 &gt;= 0.7, $S$10, E322&gt;= 0.65, $S$11, E322&gt;= 0.6, $S$12, E322&gt;= 0.55,$S$13, E322 &gt;= 0.5,$S$14)</f>
        <v>0.5</v>
      </c>
    </row>
    <row r="289" spans="1:15" ht="24" x14ac:dyDescent="0.25">
      <c r="A289" s="2" t="s">
        <v>40</v>
      </c>
      <c r="B289" s="2" t="s">
        <v>41</v>
      </c>
      <c r="C289" s="2">
        <v>-1.5</v>
      </c>
      <c r="D289" s="34" t="b">
        <v>1</v>
      </c>
      <c r="E289" s="2">
        <v>0.52800000000000002</v>
      </c>
      <c r="F289" s="2">
        <v>97</v>
      </c>
      <c r="G289" s="2">
        <v>341</v>
      </c>
      <c r="H289" s="2">
        <v>101.5</v>
      </c>
      <c r="I289" s="2">
        <v>108.4</v>
      </c>
      <c r="J289" s="2">
        <v>155</v>
      </c>
      <c r="K289" s="2">
        <v>107.8</v>
      </c>
      <c r="L289" s="2">
        <v>-5.0599999999999996</v>
      </c>
      <c r="M289" s="2" t="s">
        <v>18</v>
      </c>
      <c r="N289" s="20">
        <v>45701</v>
      </c>
      <c r="O289" s="8" cm="1">
        <f t="array" ref="O289">_xlfn.IFS(E323&gt;=0.99,$S$3, E323&gt;=0.95,$S$4, E323&gt;= 0.93, $S$5, E323&gt;= 0.9,$S$6, E323&gt;= 0.85,$S$7, E323&gt;= 0.8,$S$8, E323&gt;= 0.75,$S$9, E323 &gt;= 0.7, $S$10, E323&gt;= 0.65, $S$11, E323&gt;= 0.6, $S$12, E323&gt;= 0.55,$S$13, E323 &gt;= 0.5,$S$14)</f>
        <v>0.5</v>
      </c>
    </row>
    <row r="290" spans="1:15" ht="24" x14ac:dyDescent="0.25">
      <c r="A290" t="s">
        <v>42</v>
      </c>
      <c r="B290" t="s">
        <v>43</v>
      </c>
      <c r="C290">
        <v>-12.5</v>
      </c>
      <c r="D290" s="33" t="b">
        <v>1</v>
      </c>
      <c r="E290">
        <v>0.96799999999999997</v>
      </c>
      <c r="F290">
        <v>115.5</v>
      </c>
      <c r="G290">
        <v>100.5</v>
      </c>
      <c r="H290">
        <v>68.400000000000006</v>
      </c>
      <c r="I290">
        <v>108.6</v>
      </c>
      <c r="J290">
        <v>105.1</v>
      </c>
      <c r="K290">
        <v>68.400000000000006</v>
      </c>
      <c r="L290">
        <v>11.62</v>
      </c>
      <c r="M290" t="s">
        <v>15</v>
      </c>
      <c r="N290" s="20">
        <v>45703</v>
      </c>
      <c r="O290" s="8" cm="1">
        <f t="array" ref="O290">_xlfn.IFS(E324&gt;=0.99,$S$3, E324&gt;=0.95,$S$4, E324&gt;= 0.93, $S$5, E324&gt;= 0.9,$S$6, E324&gt;= 0.85,$S$7, E324&gt;= 0.8,$S$8, E324&gt;= 0.75,$S$9, E324 &gt;= 0.7, $S$10, E324&gt;= 0.65, $S$11, E324&gt;= 0.6, $S$12, E324&gt;= 0.55,$S$13, E324 &gt;= 0.5,$S$14)</f>
        <v>0.5</v>
      </c>
    </row>
    <row r="291" spans="1:15" ht="24" x14ac:dyDescent="0.25">
      <c r="A291" t="s">
        <v>44</v>
      </c>
      <c r="B291" t="s">
        <v>45</v>
      </c>
      <c r="C291">
        <v>-11.5</v>
      </c>
      <c r="D291" s="33" t="b">
        <v>1</v>
      </c>
      <c r="E291">
        <v>0.95199999999999996</v>
      </c>
      <c r="F291">
        <v>108.8</v>
      </c>
      <c r="G291">
        <v>107.8</v>
      </c>
      <c r="H291">
        <v>65.7</v>
      </c>
      <c r="I291">
        <v>103</v>
      </c>
      <c r="J291">
        <v>115</v>
      </c>
      <c r="K291">
        <v>65.7</v>
      </c>
      <c r="L291">
        <v>13.03</v>
      </c>
      <c r="M291" t="s">
        <v>18</v>
      </c>
      <c r="N291" s="20">
        <v>45703</v>
      </c>
      <c r="O291" s="8" cm="1">
        <f t="array" ref="O291">_xlfn.IFS(E325&gt;=0.99,$S$3, E325&gt;=0.95,$S$4, E325&gt;= 0.93, $S$5, E325&gt;= 0.9,$S$6, E325&gt;= 0.85,$S$7, E325&gt;= 0.8,$S$8, E325&gt;= 0.75,$S$9, E325 &gt;= 0.7, $S$10, E325&gt;= 0.65, $S$11, E325&gt;= 0.6, $S$12, E325&gt;= 0.55,$S$13, E325 &gt;= 0.5,$S$14)</f>
        <v>0.5</v>
      </c>
    </row>
    <row r="292" spans="1:15" ht="24" x14ac:dyDescent="0.25">
      <c r="A292" t="s">
        <v>20</v>
      </c>
      <c r="B292" t="s">
        <v>46</v>
      </c>
      <c r="C292">
        <v>-10.5</v>
      </c>
      <c r="D292" s="33" t="b">
        <v>1</v>
      </c>
      <c r="E292">
        <v>0.94</v>
      </c>
      <c r="F292">
        <v>100.7</v>
      </c>
      <c r="G292">
        <v>109.1</v>
      </c>
      <c r="H292">
        <v>65.7</v>
      </c>
      <c r="I292">
        <v>100.2</v>
      </c>
      <c r="J292">
        <v>119.2</v>
      </c>
      <c r="K292">
        <v>65.7</v>
      </c>
      <c r="L292">
        <v>10.59</v>
      </c>
      <c r="M292" t="s">
        <v>15</v>
      </c>
      <c r="N292" s="20">
        <v>45703</v>
      </c>
      <c r="O292" s="8" cm="1">
        <f t="array" ref="O292">_xlfn.IFS(E326&gt;=0.99,$S$3, E326&gt;=0.95,$S$4, E326&gt;= 0.93, $S$5, E326&gt;= 0.9,$S$6, E326&gt;= 0.85,$S$7, E326&gt;= 0.8,$S$8, E326&gt;= 0.75,$S$9, E326 &gt;= 0.7, $S$10, E326&gt;= 0.65, $S$11, E326&gt;= 0.6, $S$12, E326&gt;= 0.55,$S$13, E326 &gt;= 0.5,$S$14)</f>
        <v>0.42857142857142855</v>
      </c>
    </row>
    <row r="293" spans="1:15" ht="24" x14ac:dyDescent="0.25">
      <c r="A293" t="s">
        <v>47</v>
      </c>
      <c r="B293" t="s">
        <v>33</v>
      </c>
      <c r="C293">
        <v>-8</v>
      </c>
      <c r="D293" s="33" t="b">
        <v>1</v>
      </c>
      <c r="E293">
        <v>0.90600000000000003</v>
      </c>
      <c r="F293">
        <v>105.3</v>
      </c>
      <c r="G293">
        <v>105.7</v>
      </c>
      <c r="H293">
        <v>62.8</v>
      </c>
      <c r="I293">
        <v>103.6</v>
      </c>
      <c r="J293">
        <v>113</v>
      </c>
      <c r="K293">
        <v>62.8</v>
      </c>
      <c r="L293">
        <v>8.9499999999999993</v>
      </c>
      <c r="M293" t="s">
        <v>15</v>
      </c>
      <c r="N293" s="20">
        <v>45703</v>
      </c>
      <c r="O293" s="8" cm="1">
        <f t="array" ref="O293">_xlfn.IFS(E327&gt;=0.99,$S$3, E327&gt;=0.95,$S$4, E327&gt;= 0.93, $S$5, E327&gt;= 0.9,$S$6, E327&gt;= 0.85,$S$7, E327&gt;= 0.8,$S$8, E327&gt;= 0.75,$S$9, E327 &gt;= 0.7, $S$10, E327&gt;= 0.65, $S$11, E327&gt;= 0.6, $S$12, E327&gt;= 0.55,$S$13, E327 &gt;= 0.5,$S$14)</f>
        <v>0.42857142857142855</v>
      </c>
    </row>
    <row r="294" spans="1:15" ht="24" x14ac:dyDescent="0.25">
      <c r="A294" t="s">
        <v>48</v>
      </c>
      <c r="B294" t="s">
        <v>49</v>
      </c>
      <c r="C294">
        <v>-7</v>
      </c>
      <c r="D294" s="33" t="b">
        <v>1</v>
      </c>
      <c r="E294">
        <v>0.90400000000000003</v>
      </c>
      <c r="F294">
        <v>103.4</v>
      </c>
      <c r="G294">
        <v>109.9</v>
      </c>
      <c r="H294">
        <v>71.599999999999994</v>
      </c>
      <c r="I294">
        <v>101.2</v>
      </c>
      <c r="J294">
        <v>111.5</v>
      </c>
      <c r="K294">
        <v>71.599999999999994</v>
      </c>
      <c r="L294">
        <v>3.76</v>
      </c>
      <c r="M294" t="s">
        <v>18</v>
      </c>
      <c r="N294" s="20">
        <v>45703</v>
      </c>
      <c r="O294" s="8" cm="1">
        <f t="array" ref="O294">_xlfn.IFS(E328&gt;=0.99,$S$3, E328&gt;=0.95,$S$4, E328&gt;= 0.93, $S$5, E328&gt;= 0.9,$S$6, E328&gt;= 0.85,$S$7, E328&gt;= 0.8,$S$8, E328&gt;= 0.75,$S$9, E328 &gt;= 0.7, $S$10, E328&gt;= 0.65, $S$11, E328&gt;= 0.6, $S$12, E328&gt;= 0.55,$S$13, E328 &gt;= 0.5,$S$14)</f>
        <v>0.42857142857142855</v>
      </c>
    </row>
    <row r="295" spans="1:15" ht="24" x14ac:dyDescent="0.25">
      <c r="A295" t="s">
        <v>50</v>
      </c>
      <c r="B295" t="s">
        <v>51</v>
      </c>
      <c r="C295">
        <v>-8</v>
      </c>
      <c r="D295" s="33" t="b">
        <v>1</v>
      </c>
      <c r="E295">
        <v>0.89200000000000002</v>
      </c>
      <c r="F295">
        <v>117.8</v>
      </c>
      <c r="G295">
        <v>92.1</v>
      </c>
      <c r="H295">
        <v>66</v>
      </c>
      <c r="I295">
        <v>113.5</v>
      </c>
      <c r="J295">
        <v>96.3</v>
      </c>
      <c r="K295">
        <v>66</v>
      </c>
      <c r="L295">
        <v>8.4200000000000017</v>
      </c>
      <c r="M295" t="s">
        <v>52</v>
      </c>
      <c r="N295" s="20">
        <v>45703</v>
      </c>
      <c r="O295" s="8" cm="1">
        <f t="array" ref="O295">_xlfn.IFS(E329&gt;=0.99,$S$3, E329&gt;=0.95,$S$4, E329&gt;= 0.93, $S$5, E329&gt;= 0.9,$S$6, E329&gt;= 0.85,$S$7, E329&gt;= 0.8,$S$8, E329&gt;= 0.75,$S$9, E329 &gt;= 0.7, $S$10, E329&gt;= 0.65, $S$11, E329&gt;= 0.6, $S$12, E329&gt;= 0.55,$S$13, E329 &gt;= 0.5,$S$14)</f>
        <v>0.6875</v>
      </c>
    </row>
    <row r="296" spans="1:15" ht="24" x14ac:dyDescent="0.25">
      <c r="A296" t="s">
        <v>53</v>
      </c>
      <c r="B296" t="s">
        <v>54</v>
      </c>
      <c r="C296">
        <v>-8.5</v>
      </c>
      <c r="D296" s="33" t="b">
        <v>1</v>
      </c>
      <c r="E296">
        <v>0.876</v>
      </c>
      <c r="F296">
        <v>118.3</v>
      </c>
      <c r="G296">
        <v>101.2</v>
      </c>
      <c r="H296">
        <v>67.8</v>
      </c>
      <c r="I296">
        <v>110.2</v>
      </c>
      <c r="J296">
        <v>100.7</v>
      </c>
      <c r="K296">
        <v>67.8</v>
      </c>
      <c r="L296">
        <v>7.52</v>
      </c>
      <c r="M296" t="s">
        <v>18</v>
      </c>
      <c r="N296" s="20">
        <v>45703</v>
      </c>
      <c r="O296" s="8" cm="1">
        <f t="array" ref="O296">_xlfn.IFS(E330&gt;=0.99,$S$3, E330&gt;=0.95,$S$4, E330&gt;= 0.93, $S$5, E330&gt;= 0.9,$S$6, E330&gt;= 0.85,$S$7, E330&gt;= 0.8,$S$8, E330&gt;= 0.75,$S$9, E330 &gt;= 0.7, $S$10, E330&gt;= 0.65, $S$11, E330&gt;= 0.6, $S$12, E330&gt;= 0.55,$S$13, E330 &gt;= 0.5,$S$14)</f>
        <v>0.3</v>
      </c>
    </row>
    <row r="297" spans="1:15" ht="24" x14ac:dyDescent="0.25">
      <c r="A297" t="s">
        <v>55</v>
      </c>
      <c r="B297" t="s">
        <v>56</v>
      </c>
      <c r="C297">
        <v>-7</v>
      </c>
      <c r="D297" s="33" t="b">
        <v>1</v>
      </c>
      <c r="E297">
        <v>0.82</v>
      </c>
      <c r="F297">
        <v>116.6</v>
      </c>
      <c r="G297">
        <v>104.9</v>
      </c>
      <c r="H297">
        <v>67.8</v>
      </c>
      <c r="I297">
        <v>107.6</v>
      </c>
      <c r="J297">
        <v>106.4</v>
      </c>
      <c r="K297">
        <v>67.8</v>
      </c>
      <c r="L297">
        <v>10.47</v>
      </c>
      <c r="M297" t="s">
        <v>15</v>
      </c>
      <c r="N297" s="20">
        <v>45703</v>
      </c>
      <c r="O297" s="8" cm="1">
        <f t="array" ref="O297">_xlfn.IFS(E331&gt;=0.99,$S$3, E331&gt;=0.95,$S$4, E331&gt;= 0.93, $S$5, E331&gt;= 0.9,$S$6, E331&gt;= 0.85,$S$7, E331&gt;= 0.8,$S$8, E331&gt;= 0.75,$S$9, E331 &gt;= 0.7, $S$10, E331&gt;= 0.65, $S$11, E331&gt;= 0.6, $S$12, E331&gt;= 0.55,$S$13, E331 &gt;= 0.5,$S$14)</f>
        <v>0.3</v>
      </c>
    </row>
    <row r="298" spans="1:15" ht="24" x14ac:dyDescent="0.25">
      <c r="A298" t="s">
        <v>57</v>
      </c>
      <c r="B298" t="s">
        <v>58</v>
      </c>
      <c r="C298">
        <v>-10.5</v>
      </c>
      <c r="D298" s="33" t="b">
        <v>1</v>
      </c>
      <c r="E298">
        <v>0.81799999999999995</v>
      </c>
      <c r="F298">
        <v>117.5</v>
      </c>
      <c r="G298">
        <v>106.4</v>
      </c>
      <c r="H298">
        <v>65.099999999999994</v>
      </c>
      <c r="I298">
        <v>105.6</v>
      </c>
      <c r="J298">
        <v>104.5</v>
      </c>
      <c r="K298">
        <v>65.099999999999994</v>
      </c>
      <c r="L298">
        <v>10.02</v>
      </c>
      <c r="M298" t="s">
        <v>18</v>
      </c>
      <c r="N298" s="20">
        <v>45703</v>
      </c>
      <c r="O298" s="8" cm="1">
        <f t="array" ref="O298">_xlfn.IFS(E332&gt;=0.99,$S$3, E332&gt;=0.95,$S$4, E332&gt;= 0.93, $S$5, E332&gt;= 0.9,$S$6, E332&gt;= 0.85,$S$7, E332&gt;= 0.8,$S$8, E332&gt;= 0.75,$S$9, E332 &gt;= 0.7, $S$10, E332&gt;= 0.65, $S$11, E332&gt;= 0.6, $S$12, E332&gt;= 0.55,$S$13, E332 &gt;= 0.5,$S$14)</f>
        <v>0.3</v>
      </c>
    </row>
    <row r="299" spans="1:15" ht="24" x14ac:dyDescent="0.25">
      <c r="A299" t="s">
        <v>59</v>
      </c>
      <c r="B299" t="s">
        <v>60</v>
      </c>
      <c r="C299">
        <v>-7.5</v>
      </c>
      <c r="D299" s="33" t="b">
        <v>1</v>
      </c>
      <c r="E299">
        <v>0.81</v>
      </c>
      <c r="F299">
        <v>117.1</v>
      </c>
      <c r="G299">
        <v>102.6</v>
      </c>
      <c r="H299">
        <v>67.900000000000006</v>
      </c>
      <c r="I299">
        <v>111.4</v>
      </c>
      <c r="J299">
        <v>104</v>
      </c>
      <c r="K299">
        <v>67.900000000000006</v>
      </c>
      <c r="L299">
        <v>7.0299999999999994</v>
      </c>
      <c r="M299" t="s">
        <v>18</v>
      </c>
      <c r="N299" s="20">
        <v>45703</v>
      </c>
      <c r="O299" s="8" cm="1">
        <f t="array" ref="O299">_xlfn.IFS(E333&gt;=0.99,$S$3, E333&gt;=0.95,$S$4, E333&gt;= 0.93, $S$5, E333&gt;= 0.9,$S$6, E333&gt;= 0.85,$S$7, E333&gt;= 0.8,$S$8, E333&gt;= 0.75,$S$9, E333 &gt;= 0.7, $S$10, E333&gt;= 0.65, $S$11, E333&gt;= 0.6, $S$12, E333&gt;= 0.55,$S$13, E333 &gt;= 0.5,$S$14)</f>
        <v>0.3</v>
      </c>
    </row>
    <row r="300" spans="1:15" ht="24" x14ac:dyDescent="0.25">
      <c r="A300" t="s">
        <v>29</v>
      </c>
      <c r="B300" t="s">
        <v>31</v>
      </c>
      <c r="C300">
        <v>-26.5</v>
      </c>
      <c r="D300" s="33" t="b">
        <v>1</v>
      </c>
      <c r="E300">
        <v>0.81</v>
      </c>
      <c r="F300">
        <v>124.6</v>
      </c>
      <c r="G300">
        <v>98.9</v>
      </c>
      <c r="H300">
        <v>69.900000000000006</v>
      </c>
      <c r="I300">
        <v>104.7</v>
      </c>
      <c r="J300">
        <v>109.5</v>
      </c>
      <c r="K300">
        <v>69.900000000000006</v>
      </c>
      <c r="L300">
        <v>30.54</v>
      </c>
      <c r="M300" t="s">
        <v>15</v>
      </c>
      <c r="N300" s="20">
        <v>45703</v>
      </c>
      <c r="O300" s="8" cm="1">
        <f t="array" ref="O300">_xlfn.IFS(E334&gt;=0.99,$S$3, E334&gt;=0.95,$S$4, E334&gt;= 0.93, $S$5, E334&gt;= 0.9,$S$6, E334&gt;= 0.85,$S$7, E334&gt;= 0.8,$S$8, E334&gt;= 0.75,$S$9, E334 &gt;= 0.7, $S$10, E334&gt;= 0.65, $S$11, E334&gt;= 0.6, $S$12, E334&gt;= 0.55,$S$13, E334 &gt;= 0.5,$S$14)</f>
        <v>0.3</v>
      </c>
    </row>
    <row r="301" spans="1:15" ht="24" x14ac:dyDescent="0.25">
      <c r="A301" t="s">
        <v>61</v>
      </c>
      <c r="B301" t="s">
        <v>62</v>
      </c>
      <c r="C301">
        <v>-6.5</v>
      </c>
      <c r="D301" s="33" t="b">
        <v>1</v>
      </c>
      <c r="E301">
        <v>0.80800000000000005</v>
      </c>
      <c r="F301">
        <v>108.8</v>
      </c>
      <c r="G301">
        <v>105.5</v>
      </c>
      <c r="H301">
        <v>70.2</v>
      </c>
      <c r="I301">
        <v>104.2</v>
      </c>
      <c r="J301">
        <v>109</v>
      </c>
      <c r="K301">
        <v>70.2</v>
      </c>
      <c r="L301">
        <v>8.01</v>
      </c>
      <c r="M301" t="s">
        <v>15</v>
      </c>
      <c r="N301" s="20">
        <v>45703</v>
      </c>
      <c r="O301" s="8" cm="1">
        <f t="array" ref="O301">_xlfn.IFS(E335&gt;=0.99,$S$3, E335&gt;=0.95,$S$4, E335&gt;= 0.93, $S$5, E335&gt;= 0.9,$S$6, E335&gt;= 0.85,$S$7, E335&gt;= 0.8,$S$8, E335&gt;= 0.75,$S$9, E335 &gt;= 0.7, $S$10, E335&gt;= 0.65, $S$11, E335&gt;= 0.6, $S$12, E335&gt;= 0.55,$S$13, E335 &gt;= 0.5,$S$14)</f>
        <v>0.3</v>
      </c>
    </row>
    <row r="302" spans="1:15" ht="24" x14ac:dyDescent="0.25">
      <c r="A302" t="s">
        <v>63</v>
      </c>
      <c r="B302" t="s">
        <v>64</v>
      </c>
      <c r="C302">
        <v>-4.5</v>
      </c>
      <c r="D302" s="33" t="b">
        <v>1</v>
      </c>
      <c r="E302">
        <v>0.77</v>
      </c>
      <c r="F302">
        <v>107.1</v>
      </c>
      <c r="G302">
        <v>105.8</v>
      </c>
      <c r="H302">
        <v>66.3</v>
      </c>
      <c r="I302">
        <v>107.5</v>
      </c>
      <c r="J302">
        <v>108.6</v>
      </c>
      <c r="K302">
        <v>66.3</v>
      </c>
      <c r="L302">
        <v>2.33</v>
      </c>
      <c r="M302" t="s">
        <v>15</v>
      </c>
      <c r="N302" s="20">
        <v>45703</v>
      </c>
      <c r="O302" s="8" cm="1">
        <f t="array" ref="O302">_xlfn.IFS(E336&gt;=0.99,$S$3, E336&gt;=0.95,$S$4, E336&gt;= 0.93, $S$5, E336&gt;= 0.9,$S$6, E336&gt;= 0.85,$S$7, E336&gt;= 0.8,$S$8, E336&gt;= 0.75,$S$9, E336 &gt;= 0.7, $S$10, E336&gt;= 0.65, $S$11, E336&gt;= 0.6, $S$12, E336&gt;= 0.55,$S$13, E336 &gt;= 0.5,$S$14)</f>
        <v>0.3</v>
      </c>
    </row>
    <row r="303" spans="1:15" ht="24" x14ac:dyDescent="0.25">
      <c r="A303" t="s">
        <v>65</v>
      </c>
      <c r="B303" t="s">
        <v>13</v>
      </c>
      <c r="C303">
        <v>-4</v>
      </c>
      <c r="D303" s="33" t="b">
        <v>1</v>
      </c>
      <c r="E303">
        <v>0.72199999999999998</v>
      </c>
      <c r="F303">
        <v>101.5</v>
      </c>
      <c r="G303">
        <v>110.9</v>
      </c>
      <c r="H303">
        <v>67.099999999999994</v>
      </c>
      <c r="I303">
        <v>103</v>
      </c>
      <c r="J303">
        <v>116.1</v>
      </c>
      <c r="K303">
        <v>67.099999999999994</v>
      </c>
      <c r="L303">
        <v>3.67</v>
      </c>
      <c r="M303" t="s">
        <v>15</v>
      </c>
      <c r="N303" s="20">
        <v>45703</v>
      </c>
      <c r="O303" s="8" cm="1">
        <f t="array" ref="O303">_xlfn.IFS(E337&gt;=0.99,$S$3, E337&gt;=0.95,$S$4, E337&gt;= 0.93, $S$5, E337&gt;= 0.9,$S$6, E337&gt;= 0.85,$S$7, E337&gt;= 0.8,$S$8, E337&gt;= 0.75,$S$9, E337 &gt;= 0.7, $S$10, E337&gt;= 0.65, $S$11, E337&gt;= 0.6, $S$12, E337&gt;= 0.55,$S$13, E337 &gt;= 0.5,$S$14)</f>
        <v>0.47222222222222221</v>
      </c>
    </row>
    <row r="304" spans="1:15" ht="24" x14ac:dyDescent="0.25">
      <c r="A304" t="s">
        <v>66</v>
      </c>
      <c r="B304" t="s">
        <v>67</v>
      </c>
      <c r="C304">
        <v>-6</v>
      </c>
      <c r="D304" s="33" t="b">
        <v>1</v>
      </c>
      <c r="E304">
        <v>0.72</v>
      </c>
      <c r="F304">
        <v>124.1</v>
      </c>
      <c r="G304">
        <v>96.9</v>
      </c>
      <c r="H304">
        <v>65.400000000000006</v>
      </c>
      <c r="I304">
        <v>123.7</v>
      </c>
      <c r="J304">
        <v>97.9</v>
      </c>
      <c r="K304">
        <v>65.400000000000006</v>
      </c>
      <c r="L304">
        <v>1.4399999999999979</v>
      </c>
      <c r="M304" t="s">
        <v>18</v>
      </c>
      <c r="N304" s="20">
        <v>45703</v>
      </c>
      <c r="O304" s="8" cm="1">
        <f t="array" ref="O304">_xlfn.IFS(E338&gt;=0.99,$S$3, E338&gt;=0.95,$S$4, E338&gt;= 0.93, $S$5, E338&gt;= 0.9,$S$6, E338&gt;= 0.85,$S$7, E338&gt;= 0.8,$S$8, E338&gt;= 0.75,$S$9, E338 &gt;= 0.7, $S$10, E338&gt;= 0.65, $S$11, E338&gt;= 0.6, $S$12, E338&gt;= 0.55,$S$13, E338 &gt;= 0.5,$S$14)</f>
        <v>0.47222222222222221</v>
      </c>
    </row>
    <row r="305" spans="1:15" ht="24" x14ac:dyDescent="0.25">
      <c r="A305" t="s">
        <v>68</v>
      </c>
      <c r="B305" t="s">
        <v>69</v>
      </c>
      <c r="C305">
        <v>-6</v>
      </c>
      <c r="D305" s="33" t="b">
        <v>1</v>
      </c>
      <c r="E305">
        <v>0.70799999999999996</v>
      </c>
      <c r="F305">
        <v>102.1</v>
      </c>
      <c r="G305">
        <v>114.2</v>
      </c>
      <c r="H305">
        <v>64.7</v>
      </c>
      <c r="I305">
        <v>98.1</v>
      </c>
      <c r="J305">
        <v>116.7</v>
      </c>
      <c r="K305">
        <v>64.7</v>
      </c>
      <c r="L305">
        <v>6.51</v>
      </c>
      <c r="M305" t="s">
        <v>15</v>
      </c>
      <c r="N305" s="20">
        <v>45703</v>
      </c>
      <c r="O305" s="8" cm="1">
        <f t="array" ref="O305">_xlfn.IFS(E339&gt;=0.99,$S$3, E339&gt;=0.95,$S$4, E339&gt;= 0.93, $S$5, E339&gt;= 0.9,$S$6, E339&gt;= 0.85,$S$7, E339&gt;= 0.8,$S$8, E339&gt;= 0.75,$S$9, E339 &gt;= 0.7, $S$10, E339&gt;= 0.65, $S$11, E339&gt;= 0.6, $S$12, E339&gt;= 0.55,$S$13, E339 &gt;= 0.5,$S$14)</f>
        <v>0.47222222222222221</v>
      </c>
    </row>
    <row r="306" spans="1:15" ht="24" x14ac:dyDescent="0.25">
      <c r="A306" t="s">
        <v>70</v>
      </c>
      <c r="B306" t="s">
        <v>25</v>
      </c>
      <c r="C306">
        <v>-6</v>
      </c>
      <c r="D306" s="33" t="b">
        <v>1</v>
      </c>
      <c r="E306">
        <v>0.68600000000000005</v>
      </c>
      <c r="F306">
        <v>108.6</v>
      </c>
      <c r="G306">
        <v>118.1</v>
      </c>
      <c r="H306">
        <v>68.599999999999994</v>
      </c>
      <c r="I306">
        <v>105.3</v>
      </c>
      <c r="J306">
        <v>119</v>
      </c>
      <c r="K306">
        <v>68.599999999999994</v>
      </c>
      <c r="L306">
        <v>4.16</v>
      </c>
      <c r="M306" t="s">
        <v>15</v>
      </c>
      <c r="N306" s="20">
        <v>45703</v>
      </c>
      <c r="O306" s="8" cm="1">
        <f t="array" ref="O306">_xlfn.IFS(E340&gt;=0.99,$S$3, E340&gt;=0.95,$S$4, E340&gt;= 0.93, $S$5, E340&gt;= 0.9,$S$6, E340&gt;= 0.85,$S$7, E340&gt;= 0.8,$S$8, E340&gt;= 0.75,$S$9, E340 &gt;= 0.7, $S$10, E340&gt;= 0.65, $S$11, E340&gt;= 0.6, $S$12, E340&gt;= 0.55,$S$13, E340 &gt;= 0.5,$S$14)</f>
        <v>0.61538461538461542</v>
      </c>
    </row>
    <row r="307" spans="1:15" ht="24" x14ac:dyDescent="0.25">
      <c r="A307" t="s">
        <v>71</v>
      </c>
      <c r="B307" t="s">
        <v>72</v>
      </c>
      <c r="C307">
        <v>-4</v>
      </c>
      <c r="D307" s="33" t="b">
        <v>1</v>
      </c>
      <c r="E307">
        <v>0.68</v>
      </c>
      <c r="F307">
        <v>104.6</v>
      </c>
      <c r="G307">
        <v>112</v>
      </c>
      <c r="H307">
        <v>63.2</v>
      </c>
      <c r="I307">
        <v>100.6</v>
      </c>
      <c r="J307">
        <v>113.4</v>
      </c>
      <c r="K307">
        <v>63.2</v>
      </c>
      <c r="L307">
        <v>5.48</v>
      </c>
      <c r="M307" t="s">
        <v>15</v>
      </c>
      <c r="N307" s="20">
        <v>45703</v>
      </c>
      <c r="O307" s="8" cm="1">
        <f t="array" ref="O307">_xlfn.IFS(E341&gt;=0.99,$S$3, E341&gt;=0.95,$S$4, E341&gt;= 0.93, $S$5, E341&gt;= 0.9,$S$6, E341&gt;= 0.85,$S$7, E341&gt;= 0.8,$S$8, E341&gt;= 0.75,$S$9, E341 &gt;= 0.7, $S$10, E341&gt;= 0.65, $S$11, E341&gt;= 0.6, $S$12, E341&gt;= 0.55,$S$13, E341 &gt;= 0.5,$S$14)</f>
        <v>0.61538461538461542</v>
      </c>
    </row>
    <row r="308" spans="1:15" ht="24" x14ac:dyDescent="0.25">
      <c r="A308" t="s">
        <v>73</v>
      </c>
      <c r="B308" t="s">
        <v>74</v>
      </c>
      <c r="C308">
        <v>-18.5</v>
      </c>
      <c r="D308" s="33" t="b">
        <v>1</v>
      </c>
      <c r="E308">
        <v>0.67200000000000004</v>
      </c>
      <c r="F308">
        <v>125.6</v>
      </c>
      <c r="G308">
        <v>90.1</v>
      </c>
      <c r="H308">
        <v>65.099999999999994</v>
      </c>
      <c r="I308">
        <v>113.5</v>
      </c>
      <c r="J308">
        <v>104.7</v>
      </c>
      <c r="K308">
        <v>65.099999999999994</v>
      </c>
      <c r="L308">
        <v>26.69</v>
      </c>
      <c r="M308" t="s">
        <v>15</v>
      </c>
      <c r="N308" s="20">
        <v>45703</v>
      </c>
      <c r="O308" s="8" cm="1">
        <f t="array" ref="O308">_xlfn.IFS(E342&gt;=0.99,$S$3, E342&gt;=0.95,$S$4, E342&gt;= 0.93, $S$5, E342&gt;= 0.9,$S$6, E342&gt;= 0.85,$S$7, E342&gt;= 0.8,$S$8, E342&gt;= 0.75,$S$9, E342 &gt;= 0.7, $S$10, E342&gt;= 0.65, $S$11, E342&gt;= 0.6, $S$12, E342&gt;= 0.55,$S$13, E342 &gt;= 0.5,$S$14)</f>
        <v>0.45</v>
      </c>
    </row>
    <row r="309" spans="1:15" ht="24" x14ac:dyDescent="0.25">
      <c r="A309" t="s">
        <v>75</v>
      </c>
      <c r="B309" t="s">
        <v>32</v>
      </c>
      <c r="C309">
        <v>-3.5</v>
      </c>
      <c r="D309" s="33" t="b">
        <v>1</v>
      </c>
      <c r="E309">
        <v>0.66600000000000004</v>
      </c>
      <c r="F309">
        <v>108.2</v>
      </c>
      <c r="G309">
        <v>115.1</v>
      </c>
      <c r="H309">
        <v>70.3</v>
      </c>
      <c r="I309">
        <v>103.3</v>
      </c>
      <c r="J309">
        <v>104.4</v>
      </c>
      <c r="K309">
        <v>70.3</v>
      </c>
      <c r="L309">
        <v>-5.85</v>
      </c>
      <c r="M309" t="s">
        <v>15</v>
      </c>
      <c r="N309" s="20">
        <v>45703</v>
      </c>
      <c r="O309" s="8" cm="1">
        <f t="array" ref="O309">_xlfn.IFS(E343&gt;=0.99,$S$3, E343&gt;=0.95,$S$4, E343&gt;= 0.93, $S$5, E343&gt;= 0.9,$S$6, E343&gt;= 0.85,$S$7, E343&gt;= 0.8,$S$8, E343&gt;= 0.75,$S$9, E343 &gt;= 0.7, $S$10, E343&gt;= 0.65, $S$11, E343&gt;= 0.6, $S$12, E343&gt;= 0.55,$S$13, E343 &gt;= 0.5,$S$14)</f>
        <v>0.72727272727272729</v>
      </c>
    </row>
    <row r="310" spans="1:15" ht="24" x14ac:dyDescent="0.25">
      <c r="A310" t="s">
        <v>76</v>
      </c>
      <c r="B310" t="s">
        <v>77</v>
      </c>
      <c r="C310">
        <v>-12.5</v>
      </c>
      <c r="D310" s="33" t="b">
        <v>1</v>
      </c>
      <c r="E310">
        <v>0.64400000000000002</v>
      </c>
      <c r="F310">
        <v>117.7</v>
      </c>
      <c r="G310">
        <v>86.3</v>
      </c>
      <c r="H310">
        <v>63.6</v>
      </c>
      <c r="I310">
        <v>118</v>
      </c>
      <c r="J310">
        <v>102</v>
      </c>
      <c r="K310">
        <v>63.6</v>
      </c>
      <c r="L310">
        <v>15.45</v>
      </c>
      <c r="M310" t="s">
        <v>18</v>
      </c>
      <c r="N310" s="20">
        <v>45703</v>
      </c>
      <c r="O310" s="8" cm="1">
        <f t="array" ref="O310">_xlfn.IFS(E344&gt;=0.99,$S$3, E344&gt;=0.95,$S$4, E344&gt;= 0.93, $S$5, E344&gt;= 0.9,$S$6, E344&gt;= 0.85,$S$7, E344&gt;= 0.8,$S$8, E344&gt;= 0.75,$S$9, E344 &gt;= 0.7, $S$10, E344&gt;= 0.65, $S$11, E344&gt;= 0.6, $S$12, E344&gt;= 0.55,$S$13, E344 &gt;= 0.5,$S$14)</f>
        <v>0.47619047619047616</v>
      </c>
    </row>
    <row r="311" spans="1:15" ht="24" x14ac:dyDescent="0.25">
      <c r="A311" t="s">
        <v>78</v>
      </c>
      <c r="B311" t="s">
        <v>79</v>
      </c>
      <c r="C311">
        <v>-3.5</v>
      </c>
      <c r="D311" s="33" t="b">
        <v>1</v>
      </c>
      <c r="E311">
        <v>0.628</v>
      </c>
      <c r="F311">
        <v>116.5</v>
      </c>
      <c r="G311">
        <v>105.5</v>
      </c>
      <c r="H311">
        <v>66.900000000000006</v>
      </c>
      <c r="I311">
        <v>106.9</v>
      </c>
      <c r="J311">
        <v>97.2</v>
      </c>
      <c r="K311">
        <v>66.900000000000006</v>
      </c>
      <c r="L311">
        <v>1.34</v>
      </c>
      <c r="M311" t="s">
        <v>18</v>
      </c>
      <c r="N311" s="20">
        <v>45703</v>
      </c>
      <c r="O311" s="8" cm="1">
        <f t="array" ref="O311">_xlfn.IFS(E345&gt;=0.99,$S$3, E345&gt;=0.95,$S$4, E345&gt;= 0.93, $S$5, E345&gt;= 0.9,$S$6, E345&gt;= 0.85,$S$7, E345&gt;= 0.8,$S$8, E345&gt;= 0.75,$S$9, E345 &gt;= 0.7, $S$10, E345&gt;= 0.65, $S$11, E345&gt;= 0.6, $S$12, E345&gt;= 0.55,$S$13, E345 &gt;= 0.5,$S$14)</f>
        <v>0.47619047619047616</v>
      </c>
    </row>
    <row r="312" spans="1:15" ht="24" x14ac:dyDescent="0.25">
      <c r="A312" t="s">
        <v>80</v>
      </c>
      <c r="B312" t="s">
        <v>81</v>
      </c>
      <c r="C312">
        <v>-1.5</v>
      </c>
      <c r="D312" s="33" t="b">
        <v>1</v>
      </c>
      <c r="E312">
        <v>0.61</v>
      </c>
      <c r="F312">
        <v>108.5</v>
      </c>
      <c r="G312">
        <v>102.7</v>
      </c>
      <c r="H312">
        <v>66.900000000000006</v>
      </c>
      <c r="I312">
        <v>116.5</v>
      </c>
      <c r="J312">
        <v>104.5</v>
      </c>
      <c r="K312">
        <v>66.900000000000006</v>
      </c>
      <c r="L312">
        <v>-6.1100000000000012</v>
      </c>
      <c r="M312" t="s">
        <v>15</v>
      </c>
      <c r="N312" s="20">
        <v>45703</v>
      </c>
      <c r="O312" s="8" cm="1">
        <f t="array" ref="O312">_xlfn.IFS(E346&gt;=0.99,$S$3, E346&gt;=0.95,$S$4, E346&gt;= 0.93, $S$5, E346&gt;= 0.9,$S$6, E346&gt;= 0.85,$S$7, E346&gt;= 0.8,$S$8, E346&gt;= 0.75,$S$9, E346 &gt;= 0.7, $S$10, E346&gt;= 0.65, $S$11, E346&gt;= 0.6, $S$12, E346&gt;= 0.55,$S$13, E346 &gt;= 0.5,$S$14)</f>
        <v>0.47619047619047616</v>
      </c>
    </row>
    <row r="313" spans="1:15" ht="24" x14ac:dyDescent="0.25">
      <c r="A313" t="s">
        <v>82</v>
      </c>
      <c r="B313" t="s">
        <v>83</v>
      </c>
      <c r="C313">
        <v>-3.5</v>
      </c>
      <c r="D313" s="33" t="b">
        <v>1</v>
      </c>
      <c r="E313">
        <v>0.60199999999999998</v>
      </c>
      <c r="F313">
        <v>102.3</v>
      </c>
      <c r="G313">
        <v>104.6</v>
      </c>
      <c r="H313">
        <v>66.099999999999994</v>
      </c>
      <c r="I313">
        <v>98.6</v>
      </c>
      <c r="J313">
        <v>106.4</v>
      </c>
      <c r="K313">
        <v>66.099999999999994</v>
      </c>
      <c r="L313">
        <v>5.47</v>
      </c>
      <c r="M313" t="s">
        <v>18</v>
      </c>
      <c r="N313" s="20">
        <v>45703</v>
      </c>
      <c r="O313" s="8" cm="1">
        <f t="array" ref="O313">_xlfn.IFS(E347&gt;=0.99,$S$3, E347&gt;=0.95,$S$4, E347&gt;= 0.93, $S$5, E347&gt;= 0.9,$S$6, E347&gt;= 0.85,$S$7, E347&gt;= 0.8,$S$8, E347&gt;= 0.75,$S$9, E347 &gt;= 0.7, $S$10, E347&gt;= 0.65, $S$11, E347&gt;= 0.6, $S$12, E347&gt;= 0.55,$S$13, E347 &gt;= 0.5,$S$14)</f>
        <v>0.75</v>
      </c>
    </row>
    <row r="314" spans="1:15" ht="24" x14ac:dyDescent="0.25">
      <c r="A314" t="s">
        <v>84</v>
      </c>
      <c r="B314" t="s">
        <v>85</v>
      </c>
      <c r="C314">
        <v>-3.5</v>
      </c>
      <c r="D314" s="33" t="b">
        <v>1</v>
      </c>
      <c r="E314">
        <v>0.60199999999999998</v>
      </c>
      <c r="F314">
        <v>118.2</v>
      </c>
      <c r="G314">
        <v>100.3</v>
      </c>
      <c r="H314">
        <v>66.5</v>
      </c>
      <c r="I314">
        <v>127</v>
      </c>
      <c r="J314">
        <v>102.5</v>
      </c>
      <c r="K314">
        <v>66.5</v>
      </c>
      <c r="L314">
        <v>-6.52</v>
      </c>
      <c r="M314" t="s">
        <v>15</v>
      </c>
      <c r="N314" s="20">
        <v>45703</v>
      </c>
      <c r="O314" s="8" cm="1">
        <f t="array" ref="O314">_xlfn.IFS(E348&gt;=0.99,$S$3, E348&gt;=0.95,$S$4, E348&gt;= 0.93, $S$5, E348&gt;= 0.9,$S$6, E348&gt;= 0.85,$S$7, E348&gt;= 0.8,$S$8, E348&gt;= 0.75,$S$9, E348 &gt;= 0.7, $S$10, E348&gt;= 0.65, $S$11, E348&gt;= 0.6, $S$12, E348&gt;= 0.55,$S$13, E348 &gt;= 0.5,$S$14)</f>
        <v>0.75</v>
      </c>
    </row>
    <row r="315" spans="1:15" ht="24" x14ac:dyDescent="0.25">
      <c r="A315" t="s">
        <v>86</v>
      </c>
      <c r="B315" t="s">
        <v>87</v>
      </c>
      <c r="C315">
        <v>-2.5</v>
      </c>
      <c r="D315" s="33" t="b">
        <v>1</v>
      </c>
      <c r="E315">
        <v>0.58599999999999997</v>
      </c>
      <c r="F315">
        <v>102.3</v>
      </c>
      <c r="G315">
        <v>112.8</v>
      </c>
      <c r="H315">
        <v>66.7</v>
      </c>
      <c r="I315">
        <v>103.7</v>
      </c>
      <c r="J315">
        <v>113.8</v>
      </c>
      <c r="K315">
        <v>66.7</v>
      </c>
      <c r="L315">
        <v>-0.24000000000000021</v>
      </c>
      <c r="M315" t="s">
        <v>15</v>
      </c>
      <c r="N315" s="20">
        <v>45703</v>
      </c>
      <c r="O315" s="8" cm="1">
        <f t="array" ref="O315">_xlfn.IFS(E349&gt;=0.99,$S$3, E349&gt;=0.95,$S$4, E349&gt;= 0.93, $S$5, E349&gt;= 0.9,$S$6, E349&gt;= 0.85,$S$7, E349&gt;= 0.8,$S$8, E349&gt;= 0.75,$S$9, E349 &gt;= 0.7, $S$10, E349&gt;= 0.65, $S$11, E349&gt;= 0.6, $S$12, E349&gt;= 0.55,$S$13, E349 &gt;= 0.5,$S$14)</f>
        <v>0.75</v>
      </c>
    </row>
    <row r="316" spans="1:15" ht="24" x14ac:dyDescent="0.25">
      <c r="A316" t="s">
        <v>88</v>
      </c>
      <c r="B316" t="s">
        <v>22</v>
      </c>
      <c r="C316">
        <v>-5</v>
      </c>
      <c r="D316" s="33" t="b">
        <v>1</v>
      </c>
      <c r="E316">
        <v>0.57599999999999996</v>
      </c>
      <c r="F316">
        <v>108.2</v>
      </c>
      <c r="G316">
        <v>109.6</v>
      </c>
      <c r="H316">
        <v>68.5</v>
      </c>
      <c r="I316">
        <v>104.9</v>
      </c>
      <c r="J316">
        <v>113.2</v>
      </c>
      <c r="K316">
        <v>68.5</v>
      </c>
      <c r="L316">
        <v>6.83</v>
      </c>
      <c r="M316" t="s">
        <v>18</v>
      </c>
      <c r="N316" s="20">
        <v>45703</v>
      </c>
      <c r="O316" s="8" cm="1">
        <f t="array" ref="O316">_xlfn.IFS(E350&gt;=0.99,$S$3, E350&gt;=0.95,$S$4, E350&gt;= 0.93, $S$5, E350&gt;= 0.9,$S$6, E350&gt;= 0.85,$S$7, E350&gt;= 0.8,$S$8, E350&gt;= 0.75,$S$9, E350 &gt;= 0.7, $S$10, E350&gt;= 0.65, $S$11, E350&gt;= 0.6, $S$12, E350&gt;= 0.55,$S$13, E350 &gt;= 0.5,$S$14)</f>
        <v>0.75</v>
      </c>
    </row>
    <row r="317" spans="1:15" ht="24" x14ac:dyDescent="0.25">
      <c r="A317" t="s">
        <v>89</v>
      </c>
      <c r="B317" t="s">
        <v>90</v>
      </c>
      <c r="C317">
        <v>-2.5</v>
      </c>
      <c r="D317" s="33" t="b">
        <v>1</v>
      </c>
      <c r="E317">
        <v>0.55200000000000005</v>
      </c>
      <c r="F317">
        <v>100.7</v>
      </c>
      <c r="G317">
        <v>110.4</v>
      </c>
      <c r="H317">
        <v>66.099999999999994</v>
      </c>
      <c r="I317">
        <v>109.1</v>
      </c>
      <c r="J317">
        <v>115.4</v>
      </c>
      <c r="K317">
        <v>66.099999999999994</v>
      </c>
      <c r="L317">
        <v>-3.44</v>
      </c>
      <c r="M317" t="s">
        <v>15</v>
      </c>
      <c r="N317" s="20">
        <v>45703</v>
      </c>
      <c r="O317" s="8" cm="1">
        <f t="array" ref="O317">_xlfn.IFS(E351&gt;=0.99,$S$3, E351&gt;=0.95,$S$4, E351&gt;= 0.93, $S$5, E351&gt;= 0.9,$S$6, E351&gt;= 0.85,$S$7, E351&gt;= 0.8,$S$8, E351&gt;= 0.75,$S$9, E351 &gt;= 0.7, $S$10, E351&gt;= 0.65, $S$11, E351&gt;= 0.6, $S$12, E351&gt;= 0.55,$S$13, E351 &gt;= 0.5,$S$14)</f>
        <v>0.33333333333333331</v>
      </c>
    </row>
    <row r="318" spans="1:15" x14ac:dyDescent="0.25">
      <c r="A318" t="s">
        <v>91</v>
      </c>
      <c r="B318" t="s">
        <v>92</v>
      </c>
      <c r="C318">
        <v>-16</v>
      </c>
      <c r="D318" s="33" t="b">
        <v>1</v>
      </c>
      <c r="E318">
        <v>1</v>
      </c>
      <c r="F318">
        <v>115.2</v>
      </c>
      <c r="G318">
        <v>103</v>
      </c>
      <c r="H318">
        <v>68.099999999999994</v>
      </c>
      <c r="I318">
        <v>101.6</v>
      </c>
      <c r="J318">
        <v>112.3</v>
      </c>
      <c r="K318">
        <v>66.2</v>
      </c>
      <c r="L318">
        <v>23.03</v>
      </c>
      <c r="M318" t="s">
        <v>15</v>
      </c>
      <c r="N318" s="20">
        <v>45689</v>
      </c>
    </row>
    <row r="319" spans="1:15" x14ac:dyDescent="0.25">
      <c r="A319" t="s">
        <v>93</v>
      </c>
      <c r="B319" t="s">
        <v>94</v>
      </c>
      <c r="C319">
        <v>-19</v>
      </c>
      <c r="D319" s="33" t="b">
        <v>1</v>
      </c>
      <c r="E319">
        <v>1</v>
      </c>
      <c r="F319">
        <v>112.3</v>
      </c>
      <c r="G319">
        <v>95</v>
      </c>
      <c r="H319">
        <v>67</v>
      </c>
      <c r="I319">
        <v>102.1</v>
      </c>
      <c r="J319">
        <v>106.8</v>
      </c>
      <c r="K319">
        <v>64.599999999999994</v>
      </c>
      <c r="L319">
        <v>21.98</v>
      </c>
      <c r="M319" t="s">
        <v>15</v>
      </c>
      <c r="N319" s="20">
        <v>45689</v>
      </c>
    </row>
    <row r="320" spans="1:15" x14ac:dyDescent="0.25">
      <c r="A320" t="s">
        <v>95</v>
      </c>
      <c r="B320" t="s">
        <v>21</v>
      </c>
      <c r="C320">
        <v>-19</v>
      </c>
      <c r="D320" s="33" t="b">
        <v>1</v>
      </c>
      <c r="E320">
        <v>0.995</v>
      </c>
      <c r="F320">
        <v>110.3</v>
      </c>
      <c r="G320">
        <v>101.9</v>
      </c>
      <c r="H320">
        <v>65.599999999999994</v>
      </c>
      <c r="I320">
        <v>101.8</v>
      </c>
      <c r="J320">
        <v>123.2</v>
      </c>
      <c r="K320">
        <v>65.400000000000006</v>
      </c>
      <c r="L320">
        <v>29.78</v>
      </c>
      <c r="M320" t="s">
        <v>18</v>
      </c>
      <c r="N320" s="20">
        <v>45689</v>
      </c>
    </row>
    <row r="321" spans="1:14" x14ac:dyDescent="0.25">
      <c r="A321" t="s">
        <v>96</v>
      </c>
      <c r="B321" t="s">
        <v>55</v>
      </c>
      <c r="C321">
        <v>-7</v>
      </c>
      <c r="D321" s="33" t="b">
        <v>1</v>
      </c>
      <c r="E321">
        <v>0.98</v>
      </c>
      <c r="F321">
        <v>109.7</v>
      </c>
      <c r="G321">
        <v>107.2</v>
      </c>
      <c r="H321">
        <v>66.7</v>
      </c>
      <c r="I321">
        <v>105.9</v>
      </c>
      <c r="J321">
        <v>110.8</v>
      </c>
      <c r="K321">
        <v>64.5</v>
      </c>
      <c r="L321">
        <v>7.32</v>
      </c>
      <c r="M321" t="s">
        <v>15</v>
      </c>
      <c r="N321" s="20">
        <v>45689</v>
      </c>
    </row>
    <row r="322" spans="1:14" x14ac:dyDescent="0.25">
      <c r="A322" t="s">
        <v>97</v>
      </c>
      <c r="B322" t="s">
        <v>98</v>
      </c>
      <c r="C322">
        <v>-11</v>
      </c>
      <c r="D322" s="33" t="b">
        <v>1</v>
      </c>
      <c r="E322">
        <v>0.98</v>
      </c>
      <c r="F322">
        <v>115.3</v>
      </c>
      <c r="G322">
        <v>110.8</v>
      </c>
      <c r="H322">
        <v>69.2</v>
      </c>
      <c r="I322">
        <v>104.1</v>
      </c>
      <c r="J322">
        <v>110.3</v>
      </c>
      <c r="K322">
        <v>64.7</v>
      </c>
      <c r="L322">
        <v>10.76</v>
      </c>
      <c r="M322" t="s">
        <v>15</v>
      </c>
      <c r="N322" s="20">
        <v>45689</v>
      </c>
    </row>
    <row r="323" spans="1:14" x14ac:dyDescent="0.25">
      <c r="A323" t="s">
        <v>90</v>
      </c>
      <c r="B323" t="s">
        <v>99</v>
      </c>
      <c r="C323">
        <v>-9.5</v>
      </c>
      <c r="D323" s="33" t="b">
        <v>1</v>
      </c>
      <c r="E323">
        <v>0.98</v>
      </c>
      <c r="F323">
        <v>114.8</v>
      </c>
      <c r="G323">
        <v>111.5</v>
      </c>
      <c r="H323">
        <v>70.599999999999994</v>
      </c>
      <c r="I323">
        <v>101.1</v>
      </c>
      <c r="J323">
        <v>110.1</v>
      </c>
      <c r="K323">
        <v>65.7</v>
      </c>
      <c r="L323">
        <v>12.26</v>
      </c>
      <c r="M323" t="s">
        <v>15</v>
      </c>
      <c r="N323" s="20">
        <v>45689</v>
      </c>
    </row>
    <row r="324" spans="1:14" x14ac:dyDescent="0.25">
      <c r="A324" t="s">
        <v>100</v>
      </c>
      <c r="B324" t="s">
        <v>101</v>
      </c>
      <c r="C324">
        <v>-15.5</v>
      </c>
      <c r="D324" s="33" t="b">
        <v>1</v>
      </c>
      <c r="E324">
        <v>0.97499999999999998</v>
      </c>
      <c r="F324">
        <v>112</v>
      </c>
      <c r="G324">
        <v>97.4</v>
      </c>
      <c r="H324">
        <v>60.6</v>
      </c>
      <c r="I324">
        <v>108.6</v>
      </c>
      <c r="J324">
        <v>113.5</v>
      </c>
      <c r="K324">
        <v>69.900000000000006</v>
      </c>
      <c r="L324">
        <v>19.59</v>
      </c>
      <c r="M324" t="s">
        <v>18</v>
      </c>
      <c r="N324" s="20">
        <v>45689</v>
      </c>
    </row>
    <row r="325" spans="1:14" x14ac:dyDescent="0.25">
      <c r="A325" t="s">
        <v>102</v>
      </c>
      <c r="B325" t="s">
        <v>29</v>
      </c>
      <c r="C325">
        <v>-9</v>
      </c>
      <c r="D325" s="33" t="b">
        <v>1</v>
      </c>
      <c r="E325">
        <v>0.97</v>
      </c>
      <c r="F325">
        <v>103.9</v>
      </c>
      <c r="G325">
        <v>107.1</v>
      </c>
      <c r="H325">
        <v>69.3</v>
      </c>
      <c r="I325">
        <v>101.8</v>
      </c>
      <c r="J325">
        <v>116</v>
      </c>
      <c r="K325">
        <v>68.2</v>
      </c>
      <c r="L325">
        <v>10.99</v>
      </c>
      <c r="M325" t="s">
        <v>18</v>
      </c>
      <c r="N325" s="20">
        <v>45689</v>
      </c>
    </row>
    <row r="326" spans="1:14" x14ac:dyDescent="0.25">
      <c r="A326" t="s">
        <v>103</v>
      </c>
      <c r="B326" t="s">
        <v>104</v>
      </c>
      <c r="C326">
        <v>-6</v>
      </c>
      <c r="D326" s="33" t="b">
        <v>1</v>
      </c>
      <c r="E326">
        <v>0.94499999999999995</v>
      </c>
      <c r="F326">
        <v>118.9</v>
      </c>
      <c r="G326">
        <v>93.9</v>
      </c>
      <c r="H326">
        <v>67.8</v>
      </c>
      <c r="I326">
        <v>122.1</v>
      </c>
      <c r="J326">
        <v>104.4</v>
      </c>
      <c r="K326">
        <v>63.7</v>
      </c>
      <c r="L326">
        <v>7.3100000000000023</v>
      </c>
      <c r="M326" t="s">
        <v>18</v>
      </c>
      <c r="N326" s="20">
        <v>45689</v>
      </c>
    </row>
    <row r="327" spans="1:14" x14ac:dyDescent="0.25">
      <c r="A327" t="s">
        <v>49</v>
      </c>
      <c r="B327" t="s">
        <v>105</v>
      </c>
      <c r="C327">
        <v>-7.5</v>
      </c>
      <c r="D327" s="33" t="b">
        <v>1</v>
      </c>
      <c r="E327">
        <v>0.94</v>
      </c>
      <c r="F327">
        <v>111.6</v>
      </c>
      <c r="G327">
        <v>109.4</v>
      </c>
      <c r="H327">
        <v>66.8</v>
      </c>
      <c r="I327">
        <v>102.8</v>
      </c>
      <c r="J327">
        <v>107.6</v>
      </c>
      <c r="K327">
        <v>71</v>
      </c>
      <c r="L327">
        <v>7.02</v>
      </c>
      <c r="M327" t="s">
        <v>15</v>
      </c>
      <c r="N327" s="20">
        <v>45689</v>
      </c>
    </row>
    <row r="328" spans="1:14" x14ac:dyDescent="0.25">
      <c r="A328" t="s">
        <v>106</v>
      </c>
      <c r="B328" t="s">
        <v>107</v>
      </c>
      <c r="C328">
        <v>-8.5</v>
      </c>
      <c r="D328" s="33" t="b">
        <v>1</v>
      </c>
      <c r="E328">
        <v>0.93</v>
      </c>
      <c r="F328">
        <v>105.3</v>
      </c>
      <c r="G328">
        <v>110.4</v>
      </c>
      <c r="H328">
        <v>66.400000000000006</v>
      </c>
      <c r="I328">
        <v>98.3</v>
      </c>
      <c r="J328">
        <v>110.1</v>
      </c>
      <c r="K328">
        <v>65.8</v>
      </c>
      <c r="L328">
        <v>6.7199999999999989</v>
      </c>
      <c r="M328" t="s">
        <v>18</v>
      </c>
      <c r="N328" s="20">
        <v>45689</v>
      </c>
    </row>
    <row r="329" spans="1:14" x14ac:dyDescent="0.25">
      <c r="A329" t="s">
        <v>108</v>
      </c>
      <c r="B329" t="s">
        <v>40</v>
      </c>
      <c r="C329">
        <v>-6.5</v>
      </c>
      <c r="D329" s="33" t="b">
        <v>1</v>
      </c>
      <c r="E329">
        <v>0.91500000000000004</v>
      </c>
      <c r="F329">
        <v>107.8</v>
      </c>
      <c r="G329">
        <v>107.2</v>
      </c>
      <c r="H329">
        <v>66.8</v>
      </c>
      <c r="I329">
        <v>106.2</v>
      </c>
      <c r="J329">
        <v>112.5</v>
      </c>
      <c r="K329">
        <v>73.7</v>
      </c>
      <c r="L329">
        <v>7.0100000000000007</v>
      </c>
      <c r="M329" t="s">
        <v>15</v>
      </c>
      <c r="N329" s="20">
        <v>45689</v>
      </c>
    </row>
    <row r="330" spans="1:14" x14ac:dyDescent="0.25">
      <c r="A330" t="s">
        <v>50</v>
      </c>
      <c r="B330" t="s">
        <v>84</v>
      </c>
      <c r="C330">
        <v>-10</v>
      </c>
      <c r="D330" s="33" t="b">
        <v>1</v>
      </c>
      <c r="E330">
        <v>0.88</v>
      </c>
      <c r="F330">
        <v>125.4</v>
      </c>
      <c r="G330">
        <v>101.1</v>
      </c>
      <c r="H330">
        <v>70.5</v>
      </c>
      <c r="I330">
        <v>111</v>
      </c>
      <c r="J330">
        <v>97.1</v>
      </c>
      <c r="K330">
        <v>68.599999999999994</v>
      </c>
      <c r="L330">
        <v>10.44</v>
      </c>
      <c r="M330" t="s">
        <v>18</v>
      </c>
      <c r="N330" s="20">
        <v>45689</v>
      </c>
    </row>
    <row r="331" spans="1:14" x14ac:dyDescent="0.25">
      <c r="A331" t="s">
        <v>109</v>
      </c>
      <c r="B331" t="s">
        <v>110</v>
      </c>
      <c r="C331">
        <v>-5</v>
      </c>
      <c r="D331" s="33" t="b">
        <v>1</v>
      </c>
      <c r="E331">
        <v>0.875</v>
      </c>
      <c r="F331">
        <v>112.2</v>
      </c>
      <c r="G331">
        <v>108.1</v>
      </c>
      <c r="H331">
        <v>67.3</v>
      </c>
      <c r="I331">
        <v>109.2</v>
      </c>
      <c r="J331">
        <v>105.6</v>
      </c>
      <c r="K331">
        <v>69</v>
      </c>
      <c r="L331">
        <v>0.48</v>
      </c>
      <c r="M331" t="s">
        <v>18</v>
      </c>
      <c r="N331" s="20">
        <v>45689</v>
      </c>
    </row>
    <row r="332" spans="1:14" x14ac:dyDescent="0.25">
      <c r="A332" t="s">
        <v>111</v>
      </c>
      <c r="B332" t="s">
        <v>89</v>
      </c>
      <c r="C332">
        <v>-3.5</v>
      </c>
      <c r="D332" s="33" t="b">
        <v>1</v>
      </c>
      <c r="E332">
        <v>0.87</v>
      </c>
      <c r="F332">
        <v>110.3</v>
      </c>
      <c r="G332">
        <v>113.4</v>
      </c>
      <c r="H332">
        <v>68.7</v>
      </c>
      <c r="I332">
        <v>100</v>
      </c>
      <c r="J332">
        <v>109.5</v>
      </c>
      <c r="K332">
        <v>71.099999999999994</v>
      </c>
      <c r="L332">
        <v>6.3299999999999992</v>
      </c>
      <c r="M332" t="s">
        <v>18</v>
      </c>
      <c r="N332" s="20">
        <v>45689</v>
      </c>
    </row>
    <row r="333" spans="1:14" x14ac:dyDescent="0.25">
      <c r="A333" t="s">
        <v>86</v>
      </c>
      <c r="B333" t="s">
        <v>72</v>
      </c>
      <c r="C333">
        <v>-4</v>
      </c>
      <c r="D333" s="33" t="b">
        <v>1</v>
      </c>
      <c r="E333">
        <v>0.87</v>
      </c>
      <c r="F333">
        <v>105.4</v>
      </c>
      <c r="G333">
        <v>111</v>
      </c>
      <c r="H333">
        <v>63.3</v>
      </c>
      <c r="I333">
        <v>101.8</v>
      </c>
      <c r="J333">
        <v>112.5</v>
      </c>
      <c r="K333">
        <v>67.400000000000006</v>
      </c>
      <c r="L333">
        <v>5.18</v>
      </c>
      <c r="M333" t="s">
        <v>18</v>
      </c>
      <c r="N333" s="20">
        <v>45689</v>
      </c>
    </row>
    <row r="334" spans="1:14" x14ac:dyDescent="0.25">
      <c r="A334" t="s">
        <v>112</v>
      </c>
      <c r="B334" t="s">
        <v>113</v>
      </c>
      <c r="C334">
        <v>-12.5</v>
      </c>
      <c r="D334" s="33" t="b">
        <v>1</v>
      </c>
      <c r="E334">
        <v>0.86</v>
      </c>
      <c r="F334">
        <v>125.7</v>
      </c>
      <c r="G334">
        <v>98.2</v>
      </c>
      <c r="H334">
        <v>74</v>
      </c>
      <c r="I334">
        <v>112.7</v>
      </c>
      <c r="J334">
        <v>95.1</v>
      </c>
      <c r="K334">
        <v>66.099999999999994</v>
      </c>
      <c r="L334">
        <v>9.9200000000000017</v>
      </c>
      <c r="M334" t="s">
        <v>15</v>
      </c>
      <c r="N334" s="20">
        <v>45689</v>
      </c>
    </row>
    <row r="335" spans="1:14" x14ac:dyDescent="0.25">
      <c r="A335" t="s">
        <v>114</v>
      </c>
      <c r="B335" t="s">
        <v>115</v>
      </c>
      <c r="C335">
        <v>-6.5</v>
      </c>
      <c r="D335" s="33" t="b">
        <v>1</v>
      </c>
      <c r="E335">
        <v>0.85</v>
      </c>
      <c r="F335">
        <v>103.6</v>
      </c>
      <c r="G335">
        <v>112.2</v>
      </c>
      <c r="H335">
        <v>67.8</v>
      </c>
      <c r="I335">
        <v>101.6</v>
      </c>
      <c r="J335">
        <v>115.9</v>
      </c>
      <c r="K335">
        <v>64.7</v>
      </c>
      <c r="L335">
        <v>5.8000000000000007</v>
      </c>
      <c r="M335" t="s">
        <v>18</v>
      </c>
      <c r="N335" s="20">
        <v>45689</v>
      </c>
    </row>
    <row r="336" spans="1:14" x14ac:dyDescent="0.25">
      <c r="A336" t="s">
        <v>41</v>
      </c>
      <c r="B336" t="s">
        <v>116</v>
      </c>
      <c r="C336">
        <v>-12</v>
      </c>
      <c r="D336" s="33" t="b">
        <v>1</v>
      </c>
      <c r="E336">
        <v>0.85</v>
      </c>
      <c r="F336">
        <v>106.1</v>
      </c>
      <c r="G336">
        <v>92.4</v>
      </c>
      <c r="H336">
        <v>69.3</v>
      </c>
      <c r="I336">
        <v>97.1</v>
      </c>
      <c r="J336">
        <v>102.1</v>
      </c>
      <c r="K336">
        <v>67.5</v>
      </c>
      <c r="L336">
        <v>18.77</v>
      </c>
      <c r="M336" t="s">
        <v>18</v>
      </c>
      <c r="N336" s="20">
        <v>45689</v>
      </c>
    </row>
    <row r="337" spans="1:14" x14ac:dyDescent="0.25">
      <c r="A337" t="s">
        <v>117</v>
      </c>
      <c r="B337" t="s">
        <v>118</v>
      </c>
      <c r="C337">
        <v>-10.5</v>
      </c>
      <c r="D337" s="33" t="b">
        <v>1</v>
      </c>
      <c r="E337">
        <v>0.83</v>
      </c>
      <c r="F337">
        <v>123.1</v>
      </c>
      <c r="G337">
        <v>86.7</v>
      </c>
      <c r="H337">
        <v>60.9</v>
      </c>
      <c r="I337">
        <v>122.1</v>
      </c>
      <c r="J337">
        <v>96.8</v>
      </c>
      <c r="K337">
        <v>64.8</v>
      </c>
      <c r="L337">
        <v>11.16</v>
      </c>
      <c r="M337" t="s">
        <v>18</v>
      </c>
      <c r="N337" s="20">
        <v>45689</v>
      </c>
    </row>
    <row r="338" spans="1:14" x14ac:dyDescent="0.25">
      <c r="A338" t="s">
        <v>119</v>
      </c>
      <c r="B338" t="s">
        <v>59</v>
      </c>
      <c r="C338">
        <v>-5</v>
      </c>
      <c r="D338" s="33" t="b">
        <v>1</v>
      </c>
      <c r="E338">
        <v>0.82499999999999996</v>
      </c>
      <c r="F338">
        <v>109.7</v>
      </c>
      <c r="G338">
        <v>101.9</v>
      </c>
      <c r="H338">
        <v>62</v>
      </c>
      <c r="I338">
        <v>107.7</v>
      </c>
      <c r="J338">
        <v>100.4</v>
      </c>
      <c r="K338">
        <v>68.3</v>
      </c>
      <c r="L338">
        <v>0.47000000000000058</v>
      </c>
      <c r="M338" t="s">
        <v>18</v>
      </c>
      <c r="N338" s="20">
        <v>45689</v>
      </c>
    </row>
    <row r="339" spans="1:14" x14ac:dyDescent="0.25">
      <c r="A339" t="s">
        <v>14</v>
      </c>
      <c r="B339" t="s">
        <v>87</v>
      </c>
      <c r="C339">
        <v>-4</v>
      </c>
      <c r="D339" s="33" t="b">
        <v>1</v>
      </c>
      <c r="E339">
        <v>0.80500000000000005</v>
      </c>
      <c r="F339">
        <v>103.1</v>
      </c>
      <c r="G339">
        <v>110.6</v>
      </c>
      <c r="H339">
        <v>66.599999999999994</v>
      </c>
      <c r="I339">
        <v>98.9</v>
      </c>
      <c r="J339">
        <v>107.3</v>
      </c>
      <c r="K339">
        <v>67.2</v>
      </c>
      <c r="L339">
        <v>0.90000000000000036</v>
      </c>
      <c r="M339" t="s">
        <v>18</v>
      </c>
      <c r="N339" s="20">
        <v>45689</v>
      </c>
    </row>
    <row r="340" spans="1:14" x14ac:dyDescent="0.25">
      <c r="A340" t="s">
        <v>120</v>
      </c>
      <c r="B340" t="s">
        <v>121</v>
      </c>
      <c r="C340">
        <v>-4.5</v>
      </c>
      <c r="D340" s="33" t="b">
        <v>1</v>
      </c>
      <c r="E340">
        <v>0.79</v>
      </c>
      <c r="F340">
        <v>112.8</v>
      </c>
      <c r="G340">
        <v>103.3</v>
      </c>
      <c r="H340">
        <v>62.5</v>
      </c>
      <c r="I340">
        <v>111.2</v>
      </c>
      <c r="J340">
        <v>104.4</v>
      </c>
      <c r="K340">
        <v>64.900000000000006</v>
      </c>
      <c r="L340">
        <v>2.7600000000000011</v>
      </c>
      <c r="M340" t="s">
        <v>15</v>
      </c>
      <c r="N340" s="20">
        <v>45689</v>
      </c>
    </row>
    <row r="341" spans="1:14" x14ac:dyDescent="0.25">
      <c r="A341" t="s">
        <v>122</v>
      </c>
      <c r="B341" t="s">
        <v>33</v>
      </c>
      <c r="C341">
        <v>-6.5</v>
      </c>
      <c r="D341" s="33" t="b">
        <v>1</v>
      </c>
      <c r="E341">
        <v>0.77500000000000002</v>
      </c>
      <c r="F341">
        <v>105</v>
      </c>
      <c r="G341">
        <v>105</v>
      </c>
      <c r="H341">
        <v>62.7</v>
      </c>
      <c r="I341">
        <v>103.4</v>
      </c>
      <c r="J341">
        <v>106.2</v>
      </c>
      <c r="K341">
        <v>63</v>
      </c>
      <c r="L341">
        <v>2.89</v>
      </c>
      <c r="M341" t="s">
        <v>18</v>
      </c>
      <c r="N341" s="20">
        <v>45689</v>
      </c>
    </row>
    <row r="342" spans="1:14" x14ac:dyDescent="0.25">
      <c r="A342" t="s">
        <v>123</v>
      </c>
      <c r="B342" t="s">
        <v>124</v>
      </c>
      <c r="C342">
        <v>-2.5</v>
      </c>
      <c r="D342" s="33" t="b">
        <v>1</v>
      </c>
      <c r="E342">
        <v>0.70499999999999996</v>
      </c>
      <c r="F342">
        <v>106.3</v>
      </c>
      <c r="G342">
        <v>95.5</v>
      </c>
      <c r="H342">
        <v>66.400000000000006</v>
      </c>
      <c r="I342">
        <v>119.3</v>
      </c>
      <c r="J342">
        <v>100.2</v>
      </c>
      <c r="K342">
        <v>66.7</v>
      </c>
      <c r="L342">
        <v>-8.240000000000002</v>
      </c>
      <c r="M342" t="s">
        <v>18</v>
      </c>
      <c r="N342" s="20">
        <v>45689</v>
      </c>
    </row>
    <row r="343" spans="1:14" x14ac:dyDescent="0.25">
      <c r="A343" t="s">
        <v>125</v>
      </c>
      <c r="B343" t="s">
        <v>80</v>
      </c>
      <c r="C343">
        <v>-1.5</v>
      </c>
      <c r="D343" s="33" t="b">
        <v>1</v>
      </c>
      <c r="E343">
        <v>0.68500000000000005</v>
      </c>
      <c r="F343">
        <v>116.3</v>
      </c>
      <c r="G343">
        <v>102.2</v>
      </c>
      <c r="H343">
        <v>70.900000000000006</v>
      </c>
      <c r="I343">
        <v>120.7</v>
      </c>
      <c r="J343">
        <v>101.2</v>
      </c>
      <c r="K343">
        <v>66.2</v>
      </c>
      <c r="L343">
        <v>-5.4599999999999991</v>
      </c>
      <c r="M343" t="s">
        <v>18</v>
      </c>
      <c r="N343" s="20">
        <v>45689</v>
      </c>
    </row>
    <row r="344" spans="1:14" x14ac:dyDescent="0.25">
      <c r="A344" t="s">
        <v>13</v>
      </c>
      <c r="B344" t="s">
        <v>65</v>
      </c>
      <c r="C344">
        <v>-2</v>
      </c>
      <c r="D344" s="33" t="b">
        <v>0</v>
      </c>
      <c r="E344">
        <v>0.60499999999999998</v>
      </c>
      <c r="F344">
        <v>102.7</v>
      </c>
      <c r="G344">
        <v>115.9</v>
      </c>
      <c r="H344">
        <v>65.7</v>
      </c>
      <c r="I344">
        <v>100.2</v>
      </c>
      <c r="J344">
        <v>111.2</v>
      </c>
      <c r="K344">
        <v>67.099999999999994</v>
      </c>
      <c r="L344">
        <v>-2.16</v>
      </c>
      <c r="M344" t="s">
        <v>15</v>
      </c>
      <c r="N344" s="20">
        <v>45689</v>
      </c>
    </row>
    <row r="345" spans="1:14" x14ac:dyDescent="0.25">
      <c r="A345" t="s">
        <v>76</v>
      </c>
      <c r="B345" t="s">
        <v>54</v>
      </c>
      <c r="C345">
        <v>-2.5</v>
      </c>
      <c r="D345" s="33" t="b">
        <v>1</v>
      </c>
      <c r="E345">
        <v>0.6</v>
      </c>
      <c r="F345">
        <v>118.7</v>
      </c>
      <c r="G345">
        <v>101.5</v>
      </c>
      <c r="H345">
        <v>67</v>
      </c>
      <c r="I345">
        <v>116.7</v>
      </c>
      <c r="J345">
        <v>100.3</v>
      </c>
      <c r="K345">
        <v>69.8</v>
      </c>
      <c r="L345">
        <v>0.78000000000000114</v>
      </c>
      <c r="M345" t="s">
        <v>15</v>
      </c>
      <c r="N345" s="20">
        <v>45689</v>
      </c>
    </row>
    <row r="346" spans="1:14" x14ac:dyDescent="0.25">
      <c r="A346" t="s">
        <v>32</v>
      </c>
      <c r="B346" t="s">
        <v>47</v>
      </c>
      <c r="C346">
        <v>-1</v>
      </c>
      <c r="D346" s="33" t="b">
        <v>0</v>
      </c>
      <c r="E346">
        <v>0.6</v>
      </c>
      <c r="F346">
        <v>101.4</v>
      </c>
      <c r="G346">
        <v>111.6</v>
      </c>
      <c r="H346">
        <v>67.099999999999994</v>
      </c>
      <c r="I346">
        <v>108.5</v>
      </c>
      <c r="J346">
        <v>115.1</v>
      </c>
      <c r="K346">
        <v>70.2</v>
      </c>
      <c r="L346">
        <v>-3.47</v>
      </c>
      <c r="M346" t="s">
        <v>18</v>
      </c>
      <c r="N346" s="20">
        <v>45689</v>
      </c>
    </row>
    <row r="347" spans="1:14" x14ac:dyDescent="0.25">
      <c r="A347" t="s">
        <v>126</v>
      </c>
      <c r="B347" t="s">
        <v>17</v>
      </c>
      <c r="C347">
        <v>-2.5</v>
      </c>
      <c r="D347" s="33" t="b">
        <v>1</v>
      </c>
      <c r="E347">
        <v>0.58499999999999996</v>
      </c>
      <c r="F347">
        <v>122.4</v>
      </c>
      <c r="G347">
        <v>101.3</v>
      </c>
      <c r="H347">
        <v>64.099999999999994</v>
      </c>
      <c r="I347">
        <v>118.3</v>
      </c>
      <c r="J347">
        <v>91.3</v>
      </c>
      <c r="K347">
        <v>68.099999999999994</v>
      </c>
      <c r="L347">
        <v>-5.9000000000000021</v>
      </c>
      <c r="M347" t="s">
        <v>15</v>
      </c>
      <c r="N347" s="20">
        <v>45689</v>
      </c>
    </row>
    <row r="348" spans="1:14" x14ac:dyDescent="0.25">
      <c r="A348" t="s">
        <v>83</v>
      </c>
      <c r="B348" t="s">
        <v>82</v>
      </c>
      <c r="C348">
        <v>-2</v>
      </c>
      <c r="D348" s="33" t="b">
        <v>1</v>
      </c>
      <c r="E348">
        <v>0.58499999999999996</v>
      </c>
      <c r="F348">
        <v>96.9</v>
      </c>
      <c r="G348">
        <v>106</v>
      </c>
      <c r="H348">
        <v>62.8</v>
      </c>
      <c r="I348">
        <v>102</v>
      </c>
      <c r="J348">
        <v>103.4</v>
      </c>
      <c r="K348">
        <v>66.5</v>
      </c>
      <c r="L348">
        <v>-7.68</v>
      </c>
      <c r="M348" t="s">
        <v>15</v>
      </c>
      <c r="N348" s="20">
        <v>45689</v>
      </c>
    </row>
    <row r="349" spans="1:14" x14ac:dyDescent="0.25">
      <c r="A349" t="s">
        <v>127</v>
      </c>
      <c r="B349" t="s">
        <v>77</v>
      </c>
      <c r="C349">
        <v>-3.5</v>
      </c>
      <c r="D349" s="33" t="b">
        <v>1</v>
      </c>
      <c r="E349">
        <v>0.56999999999999995</v>
      </c>
      <c r="F349">
        <v>117</v>
      </c>
      <c r="G349">
        <v>87.7</v>
      </c>
      <c r="H349">
        <v>63.6</v>
      </c>
      <c r="I349">
        <v>125.6</v>
      </c>
      <c r="J349">
        <v>94.6</v>
      </c>
      <c r="K349">
        <v>69</v>
      </c>
      <c r="L349">
        <v>-1.6699999999999979</v>
      </c>
      <c r="M349" t="s">
        <v>15</v>
      </c>
      <c r="N349" s="20">
        <v>45689</v>
      </c>
    </row>
    <row r="350" spans="1:14" x14ac:dyDescent="0.25">
      <c r="A350" t="s">
        <v>39</v>
      </c>
      <c r="B350" t="s">
        <v>38</v>
      </c>
      <c r="C350">
        <v>-3.5</v>
      </c>
      <c r="D350" s="33" t="b">
        <v>1</v>
      </c>
      <c r="E350">
        <v>0.55500000000000005</v>
      </c>
      <c r="F350">
        <v>93.8</v>
      </c>
      <c r="G350">
        <v>111.4</v>
      </c>
      <c r="H350">
        <v>60.8</v>
      </c>
      <c r="I350">
        <v>99</v>
      </c>
      <c r="J350">
        <v>118</v>
      </c>
      <c r="K350">
        <v>68.5</v>
      </c>
      <c r="L350">
        <v>1.4600000000000011</v>
      </c>
      <c r="M350" t="s">
        <v>15</v>
      </c>
      <c r="N350" s="20">
        <v>45689</v>
      </c>
    </row>
    <row r="351" spans="1:14" x14ac:dyDescent="0.25">
      <c r="A351" t="s">
        <v>128</v>
      </c>
      <c r="B351" t="s">
        <v>129</v>
      </c>
      <c r="C351">
        <v>-3</v>
      </c>
      <c r="D351" s="33" t="b">
        <v>0</v>
      </c>
      <c r="E351">
        <v>0.52500000000000002</v>
      </c>
      <c r="F351">
        <v>121.6</v>
      </c>
      <c r="G351">
        <v>107.2</v>
      </c>
      <c r="H351">
        <v>63.2</v>
      </c>
      <c r="I351">
        <v>116.4</v>
      </c>
      <c r="J351">
        <v>97</v>
      </c>
      <c r="K351">
        <v>67.8</v>
      </c>
      <c r="L351">
        <v>-5.009999999999998</v>
      </c>
      <c r="M351" t="s">
        <v>15</v>
      </c>
      <c r="N351" s="20">
        <v>45689</v>
      </c>
    </row>
  </sheetData>
  <phoneticPr fontId="26" type="noConversion"/>
  <conditionalFormatting sqref="O2:O317">
    <cfRule type="containsText" dxfId="28" priority="22" operator="containsText" text="NA">
      <formula>NOT(ISERROR(SEARCH("NA",O2)))</formula>
    </cfRule>
    <cfRule type="cellIs" dxfId="27" priority="23" operator="greaterThan">
      <formula>0.75</formula>
    </cfRule>
    <cfRule type="cellIs" dxfId="26" priority="24" operator="greaterThan">
      <formula>0.5</formula>
    </cfRule>
    <cfRule type="cellIs" dxfId="25" priority="25" operator="lessThanOrEqual">
      <formula>0.25</formula>
    </cfRule>
    <cfRule type="cellIs" dxfId="24" priority="26" operator="lessThan">
      <formula>0.5</formula>
    </cfRule>
  </conditionalFormatting>
  <conditionalFormatting sqref="R2:R3">
    <cfRule type="containsText" dxfId="23" priority="57" operator="containsText" text="NA">
      <formula>NOT(ISERROR(SEARCH("NA",R2)))</formula>
    </cfRule>
    <cfRule type="cellIs" dxfId="22" priority="58" operator="greaterThan">
      <formula>0.75</formula>
    </cfRule>
    <cfRule type="cellIs" dxfId="21" priority="59" operator="greaterThan">
      <formula>0.5</formula>
    </cfRule>
    <cfRule type="cellIs" dxfId="20" priority="60" operator="lessThanOrEqual">
      <formula>0.25</formula>
    </cfRule>
    <cfRule type="cellIs" dxfId="19" priority="61" operator="lessThan">
      <formula>0.5</formula>
    </cfRule>
  </conditionalFormatting>
  <conditionalFormatting sqref="R6">
    <cfRule type="containsText" dxfId="18" priority="82" operator="containsText" text="NA">
      <formula>NOT(ISERROR(SEARCH("NA",R6)))</formula>
    </cfRule>
    <cfRule type="cellIs" dxfId="17" priority="83" operator="greaterThan">
      <formula>0.75</formula>
    </cfRule>
    <cfRule type="cellIs" dxfId="16" priority="84" operator="greaterThan">
      <formula>0.5</formula>
    </cfRule>
    <cfRule type="cellIs" dxfId="15" priority="85" operator="lessThanOrEqual">
      <formula>0.25</formula>
    </cfRule>
    <cfRule type="cellIs" dxfId="14" priority="86" operator="lessThan">
      <formula>0.5</formula>
    </cfRule>
  </conditionalFormatting>
  <conditionalFormatting sqref="R9 R11 R13">
    <cfRule type="containsText" dxfId="13" priority="3" operator="containsText" text="NA">
      <formula>NOT(ISERROR(SEARCH("NA",R9)))</formula>
    </cfRule>
    <cfRule type="cellIs" dxfId="12" priority="4" operator="greaterThan">
      <formula>0.75</formula>
    </cfRule>
    <cfRule type="cellIs" dxfId="11" priority="5" operator="greaterThan">
      <formula>0.5</formula>
    </cfRule>
    <cfRule type="cellIs" dxfId="10" priority="6" operator="lessThanOrEqual">
      <formula>0.25</formula>
    </cfRule>
    <cfRule type="cellIs" dxfId="9" priority="7" operator="lessThan">
      <formula>0.5</formula>
    </cfRule>
  </conditionalFormatting>
  <conditionalFormatting sqref="R14">
    <cfRule type="expression" dxfId="8" priority="21">
      <formula>$S$14</formula>
    </cfRule>
  </conditionalFormatting>
  <conditionalFormatting sqref="S2:S14">
    <cfRule type="containsText" dxfId="7" priority="117" operator="containsText" text="NA">
      <formula>NOT(ISERROR(SEARCH("NA",S2)))</formula>
    </cfRule>
    <cfRule type="cellIs" dxfId="6" priority="118" operator="greaterThan">
      <formula>0.75</formula>
    </cfRule>
    <cfRule type="cellIs" dxfId="5" priority="119" operator="greaterThan">
      <formula>0.5</formula>
    </cfRule>
    <cfRule type="cellIs" dxfId="4" priority="120" operator="lessThanOrEqual">
      <formula>0.25</formula>
    </cfRule>
    <cfRule type="cellIs" dxfId="3" priority="121" operator="lessThan">
      <formula>0.5</formula>
    </cfRule>
  </conditionalFormatting>
  <conditionalFormatting sqref="U2:U14">
    <cfRule type="cellIs" dxfId="2" priority="8" operator="greaterThan">
      <formula>10</formula>
    </cfRule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30A5-4CD2-43BE-B291-C904A301E818}">
  <sheetPr codeName="Sheet5"/>
  <dimension ref="A1:F14"/>
  <sheetViews>
    <sheetView workbookViewId="0">
      <selection activeCell="G7" sqref="G7"/>
    </sheetView>
  </sheetViews>
  <sheetFormatPr defaultRowHeight="15.75" x14ac:dyDescent="0.25"/>
  <cols>
    <col min="1" max="1" width="8.5" bestFit="1" customWidth="1"/>
    <col min="4" max="4" width="11.875" bestFit="1" customWidth="1"/>
  </cols>
  <sheetData>
    <row r="1" spans="1:6" x14ac:dyDescent="0.25">
      <c r="A1" t="s">
        <v>264</v>
      </c>
      <c r="B1" t="s">
        <v>265</v>
      </c>
      <c r="C1" t="s">
        <v>266</v>
      </c>
      <c r="D1" t="s">
        <v>380</v>
      </c>
      <c r="E1" t="s">
        <v>268</v>
      </c>
      <c r="F1" t="s">
        <v>269</v>
      </c>
    </row>
    <row r="2" spans="1:6" x14ac:dyDescent="0.25">
      <c r="A2" s="68">
        <v>1</v>
      </c>
      <c r="B2" t="s">
        <v>374</v>
      </c>
      <c r="C2" s="68">
        <v>0.48076923076923078</v>
      </c>
      <c r="D2" t="s">
        <v>381</v>
      </c>
      <c r="E2" s="67">
        <v>5</v>
      </c>
      <c r="F2" s="66">
        <v>-23.500000000000014</v>
      </c>
    </row>
    <row r="3" spans="1:6" x14ac:dyDescent="0.25">
      <c r="A3" t="s">
        <v>263</v>
      </c>
      <c r="B3" t="s">
        <v>375</v>
      </c>
      <c r="C3" s="68">
        <v>0.40579710144927539</v>
      </c>
      <c r="D3" t="s">
        <v>382</v>
      </c>
      <c r="E3" s="67">
        <v>0.5</v>
      </c>
      <c r="F3" s="66">
        <v>-8.5500000000000007</v>
      </c>
    </row>
    <row r="4" spans="1:6" x14ac:dyDescent="0.25">
      <c r="A4" t="s">
        <v>135</v>
      </c>
      <c r="B4" t="s">
        <v>376</v>
      </c>
      <c r="C4" s="68">
        <v>0.4375</v>
      </c>
      <c r="D4" t="s">
        <v>383</v>
      </c>
      <c r="E4" s="67">
        <v>0.5</v>
      </c>
      <c r="F4" s="66">
        <v>-2.8500000000000005</v>
      </c>
    </row>
    <row r="5" spans="1:6" x14ac:dyDescent="0.25">
      <c r="A5" t="s">
        <v>136</v>
      </c>
      <c r="B5" t="s">
        <v>369</v>
      </c>
      <c r="C5" s="68">
        <v>0.5714285714285714</v>
      </c>
      <c r="D5" t="s">
        <v>384</v>
      </c>
      <c r="E5" s="67">
        <v>1</v>
      </c>
      <c r="F5" s="66">
        <v>0.69999999999999973</v>
      </c>
    </row>
    <row r="6" spans="1:6" x14ac:dyDescent="0.25">
      <c r="A6" t="s">
        <v>137</v>
      </c>
      <c r="B6" t="s">
        <v>370</v>
      </c>
      <c r="C6" s="68">
        <v>0.33333333333333331</v>
      </c>
      <c r="D6" t="s">
        <v>370</v>
      </c>
      <c r="E6" s="67">
        <v>2.5</v>
      </c>
      <c r="F6" s="66">
        <v>-6.0000000000000009</v>
      </c>
    </row>
    <row r="7" spans="1:6" x14ac:dyDescent="0.25">
      <c r="A7" t="s">
        <v>138</v>
      </c>
      <c r="B7" t="s">
        <v>377</v>
      </c>
      <c r="C7" s="68">
        <v>0.375</v>
      </c>
      <c r="D7" t="s">
        <v>385</v>
      </c>
      <c r="E7" s="67">
        <v>2.5</v>
      </c>
      <c r="F7" s="66">
        <v>-16.5</v>
      </c>
    </row>
    <row r="8" spans="1:6" x14ac:dyDescent="0.25">
      <c r="A8" t="s">
        <v>139</v>
      </c>
      <c r="B8" t="s">
        <v>371</v>
      </c>
      <c r="C8" s="68">
        <v>0.4</v>
      </c>
      <c r="D8" t="s">
        <v>365</v>
      </c>
      <c r="E8" s="67">
        <v>0.5</v>
      </c>
      <c r="F8" s="66">
        <v>-0.65000000000000013</v>
      </c>
    </row>
    <row r="9" spans="1:6" x14ac:dyDescent="0.25">
      <c r="A9" t="s">
        <v>140</v>
      </c>
      <c r="B9" t="s">
        <v>372</v>
      </c>
      <c r="C9" s="68">
        <v>0.44444444444444442</v>
      </c>
      <c r="D9" t="s">
        <v>386</v>
      </c>
      <c r="E9" s="67">
        <v>1.5</v>
      </c>
      <c r="F9" s="66">
        <v>-2.25</v>
      </c>
    </row>
    <row r="10" spans="1:6" x14ac:dyDescent="0.25">
      <c r="A10" t="s">
        <v>141</v>
      </c>
      <c r="B10" t="s">
        <v>371</v>
      </c>
      <c r="C10" s="68">
        <v>0.4</v>
      </c>
      <c r="D10" t="s">
        <v>387</v>
      </c>
      <c r="E10" s="67">
        <v>0.5</v>
      </c>
      <c r="F10" s="66">
        <v>-0.65000000000000013</v>
      </c>
    </row>
    <row r="11" spans="1:6" x14ac:dyDescent="0.25">
      <c r="A11" t="s">
        <v>142</v>
      </c>
      <c r="B11" t="s">
        <v>372</v>
      </c>
      <c r="C11" s="68">
        <v>0.44444444444444442</v>
      </c>
      <c r="D11" t="s">
        <v>388</v>
      </c>
      <c r="E11" s="67">
        <v>2.5</v>
      </c>
      <c r="F11" s="66">
        <v>-3.75</v>
      </c>
    </row>
    <row r="12" spans="1:6" x14ac:dyDescent="0.25">
      <c r="A12" t="s">
        <v>143</v>
      </c>
      <c r="B12" t="s">
        <v>378</v>
      </c>
      <c r="C12" s="68">
        <v>0.7</v>
      </c>
      <c r="D12" t="s">
        <v>389</v>
      </c>
      <c r="E12" s="67">
        <v>0.5</v>
      </c>
      <c r="F12" s="66">
        <v>1.8499999999999999</v>
      </c>
    </row>
    <row r="13" spans="1:6" x14ac:dyDescent="0.25">
      <c r="A13" t="s">
        <v>144</v>
      </c>
      <c r="B13" t="s">
        <v>379</v>
      </c>
      <c r="C13" s="68">
        <v>0.42857142857142855</v>
      </c>
      <c r="D13" t="s">
        <v>388</v>
      </c>
      <c r="E13" s="67">
        <v>2</v>
      </c>
      <c r="F13" s="66">
        <v>-2.8000000000000007</v>
      </c>
    </row>
    <row r="14" spans="1:6" x14ac:dyDescent="0.25">
      <c r="A14" t="s">
        <v>145</v>
      </c>
      <c r="B14" t="s">
        <v>379</v>
      </c>
      <c r="C14" s="68">
        <v>0.42857142857142855</v>
      </c>
      <c r="D14" t="s">
        <v>388</v>
      </c>
      <c r="E14" s="67">
        <v>0.5</v>
      </c>
      <c r="F14" s="66">
        <v>-0.70000000000000018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CBADEC24-3667-5B4F-BA02-5AFAB9ACD919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 Games</vt:lpstr>
      <vt:lpstr>Today's Games</vt:lpstr>
      <vt:lpstr>2025-2026 Record</vt:lpstr>
      <vt:lpstr>Model Record</vt:lpstr>
      <vt:lpstr>Games</vt:lpstr>
      <vt:lpstr>recent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VALLACE</dc:creator>
  <cp:lastModifiedBy>Vallace, Paul</cp:lastModifiedBy>
  <dcterms:created xsi:type="dcterms:W3CDTF">2025-02-18T20:29:09Z</dcterms:created>
  <dcterms:modified xsi:type="dcterms:W3CDTF">2025-12-15T15:59:10Z</dcterms:modified>
</cp:coreProperties>
</file>